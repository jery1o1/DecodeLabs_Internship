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che\OneDrive\Documents\"/>
    </mc:Choice>
  </mc:AlternateContent>
  <xr:revisionPtr revIDLastSave="0" documentId="13_ncr:1_{E1E690EC-E4EC-41C2-B1B2-60C60D6CCA8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w Data" sheetId="1" r:id="rId1"/>
    <sheet name="CleanedData" sheetId="2" r:id="rId2"/>
    <sheet name="EDA Summary" sheetId="3" r:id="rId3"/>
  </sheets>
  <definedNames>
    <definedName name="ExternalData_1" localSheetId="1" hidden="1">CleanedData!$A$1:$N$1201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G25" i="3"/>
  <c r="G27" i="3"/>
  <c r="B4" i="3"/>
  <c r="D6" i="3"/>
  <c r="D5" i="3"/>
  <c r="D4" i="3"/>
  <c r="D3" i="3"/>
  <c r="D2" i="3"/>
  <c r="C6" i="3"/>
  <c r="C5" i="3"/>
  <c r="C4" i="3"/>
  <c r="C3" i="3"/>
  <c r="C2" i="3"/>
  <c r="B2" i="3"/>
  <c r="B6" i="3"/>
  <c r="B5" i="3"/>
  <c r="B3" i="3"/>
  <c r="G29" i="3" l="1"/>
  <c r="G31" i="3" l="1"/>
  <c r="G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76BC9-A680-4876-8D3E-FFB4FCD0029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<sst xmlns="http://schemas.openxmlformats.org/spreadsheetml/2006/main" count="21351" uniqueCount="4304">
  <si>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</si>
  <si>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</si>
  <si>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</si>
  <si>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</si>
  <si>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</si>
  <si>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</si>
  <si>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</si>
  <si>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</si>
  <si>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</si>
  <si>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</si>
  <si>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</si>
  <si>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</si>
  <si>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</si>
  <si>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</si>
  <si>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</si>
  <si>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</si>
  <si>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</si>
  <si>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</si>
  <si>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</si>
  <si>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</si>
  <si>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</si>
  <si>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</si>
  <si>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</si>
  <si>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</si>
  <si>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</si>
  <si>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</si>
  <si>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</si>
  <si>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</si>
  <si>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</si>
  <si>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</si>
  <si>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</si>
  <si>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</si>
  <si>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</si>
  <si>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</si>
  <si>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</si>
  <si>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</si>
  <si>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</si>
  <si>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</si>
  <si>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</si>
  <si>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</si>
  <si>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</si>
  <si>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</si>
  <si>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</si>
  <si>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</si>
  <si>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</si>
  <si>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</si>
  <si>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</si>
  <si>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</si>
  <si>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</si>
  <si>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</si>
  <si>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</si>
  <si>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</si>
  <si>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</si>
  <si>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</si>
  <si>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</si>
  <si>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</si>
  <si>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</si>
  <si>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</si>
  <si>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</si>
  <si>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</si>
  <si>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</si>
  <si>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</si>
  <si>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</si>
  <si>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</si>
  <si>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</si>
  <si>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</si>
  <si>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</si>
  <si>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</si>
  <si>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</si>
  <si>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</si>
  <si>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</si>
  <si>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</si>
  <si>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</si>
  <si>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</si>
  <si>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</si>
  <si>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</si>
  <si>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</si>
  <si>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</si>
  <si>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</si>
  <si>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</si>
  <si>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</si>
  <si>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</si>
  <si>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</si>
  <si>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</si>
  <si>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</si>
  <si>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</si>
  <si>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</si>
  <si>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</si>
  <si>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</si>
  <si>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</si>
  <si>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</si>
  <si>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</si>
  <si>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</si>
  <si>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</si>
  <si>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</si>
  <si>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</si>
  <si>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</si>
  <si>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</si>
  <si>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</si>
  <si>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</si>
  <si>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</si>
  <si>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</si>
  <si>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</si>
  <si>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</si>
  <si>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</si>
  <si>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</si>
  <si>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</si>
  <si>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</si>
  <si>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</si>
  <si>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</si>
  <si>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</si>
  <si>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</si>
  <si>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</si>
  <si>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</si>
  <si>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</si>
  <si>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</si>
  <si>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</si>
  <si>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</si>
  <si>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</si>
  <si>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</si>
  <si>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</si>
  <si>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</si>
  <si>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</si>
  <si>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</si>
  <si>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</si>
  <si>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</si>
  <si>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</si>
  <si>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</si>
  <si>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</si>
  <si>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</si>
  <si>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</si>
  <si>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</si>
  <si>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</si>
  <si>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</si>
  <si>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</si>
  <si>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</si>
  <si>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</si>
  <si>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</si>
  <si>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</si>
  <si>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</si>
  <si>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</si>
  <si>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</si>
  <si>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</si>
  <si>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</si>
  <si>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</si>
  <si>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</si>
  <si>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</si>
  <si>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</si>
  <si>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</si>
  <si>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</si>
  <si>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</si>
  <si>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</si>
  <si>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</si>
  <si>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</si>
  <si>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</si>
  <si>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</si>
  <si>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</si>
  <si>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</si>
  <si>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</si>
  <si>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</si>
  <si>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</si>
  <si>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</si>
  <si>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</si>
  <si>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</si>
  <si>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</si>
  <si>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</si>
  <si>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</si>
  <si>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</si>
  <si>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</si>
  <si>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</si>
  <si>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</si>
  <si>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</si>
  <si>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</si>
  <si>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</si>
  <si>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</si>
  <si>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</si>
  <si>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</si>
  <si>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</si>
  <si>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</si>
  <si>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</si>
  <si>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</si>
  <si>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</si>
  <si>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</si>
  <si>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</si>
  <si>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</si>
  <si>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</si>
  <si>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</si>
  <si>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</si>
  <si>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</si>
  <si>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</si>
  <si>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</si>
  <si>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</si>
  <si>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</si>
  <si>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</si>
  <si>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</si>
  <si>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</si>
  <si>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</si>
  <si>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</si>
  <si>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</si>
  <si>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</si>
  <si>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</si>
  <si>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</si>
  <si>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</si>
  <si>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</si>
  <si>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</si>
  <si>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</si>
  <si>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</si>
  <si>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</si>
  <si>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</si>
  <si>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</si>
  <si>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</si>
  <si>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</si>
  <si>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</si>
  <si>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</si>
  <si>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</si>
  <si>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</si>
  <si>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</si>
  <si>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</si>
  <si>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</si>
  <si>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</si>
  <si>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</si>
  <si>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</si>
  <si>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</si>
  <si>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</si>
  <si>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</si>
  <si>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</si>
  <si>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</si>
  <si>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</si>
  <si>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</si>
  <si>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</si>
  <si>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</si>
  <si>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</si>
  <si>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</si>
  <si>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</si>
  <si>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</si>
  <si>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</si>
  <si>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</si>
  <si>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</si>
  <si>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</si>
  <si>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</si>
  <si>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</si>
  <si>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</si>
  <si>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</si>
  <si>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</si>
  <si>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</si>
  <si>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</si>
  <si>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</si>
  <si>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</si>
  <si>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</si>
  <si>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</si>
  <si>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</si>
  <si>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</si>
  <si>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</si>
  <si>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</si>
  <si>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</si>
  <si>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</si>
  <si>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</si>
  <si>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</si>
  <si>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</si>
  <si>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</si>
  <si>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</si>
  <si>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</si>
  <si>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</si>
  <si>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</si>
  <si>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</si>
  <si>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</si>
  <si>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</si>
  <si>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</si>
  <si>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</si>
  <si>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</si>
  <si>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</si>
  <si>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</si>
  <si>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</si>
  <si>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</si>
  <si>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</si>
  <si>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</si>
  <si>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</si>
  <si>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</si>
  <si>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</si>
  <si>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</si>
  <si>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</si>
  <si>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</si>
  <si>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</si>
  <si>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</si>
  <si>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</si>
  <si>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</si>
  <si>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</si>
  <si>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</si>
  <si>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</si>
  <si>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</si>
  <si>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</si>
  <si>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</si>
  <si>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</si>
  <si>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</si>
  <si>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</si>
  <si>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</si>
  <si>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</si>
  <si>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</si>
  <si>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</si>
  <si>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</si>
  <si>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</si>
  <si>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</si>
  <si>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</si>
  <si>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</si>
  <si>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</si>
  <si>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</si>
  <si>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</si>
  <si>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</si>
  <si>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</si>
  <si>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</si>
  <si>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</si>
  <si>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</si>
  <si>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</si>
  <si>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</si>
  <si>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</si>
  <si>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</si>
  <si>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</si>
  <si>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</si>
  <si>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</si>
  <si>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</si>
  <si>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</si>
  <si>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</si>
  <si>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</si>
  <si>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</si>
  <si>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</si>
  <si>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</si>
  <si>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</si>
  <si>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</si>
  <si>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</si>
  <si>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</si>
  <si>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</si>
  <si>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</si>
  <si>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</si>
  <si>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</si>
  <si>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</si>
  <si>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</si>
  <si>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</si>
  <si>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</si>
  <si>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</si>
  <si>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</si>
  <si>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</si>
  <si>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</si>
  <si>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</si>
  <si>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</si>
  <si>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</si>
  <si>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</si>
  <si>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</si>
  <si>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</si>
  <si>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</si>
  <si>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</si>
  <si>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</si>
  <si>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</si>
  <si>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</si>
  <si>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</si>
  <si>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</si>
  <si>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</si>
  <si>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</si>
  <si>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</si>
  <si>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</si>
  <si>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</si>
  <si>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</si>
  <si>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</si>
  <si>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</si>
  <si>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</si>
  <si>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</si>
  <si>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</si>
  <si>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</si>
  <si>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</si>
  <si>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</si>
  <si>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</si>
  <si>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</si>
  <si>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</si>
  <si>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</si>
  <si>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</si>
  <si>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</si>
  <si>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</si>
  <si>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</si>
  <si>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</si>
  <si>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</si>
  <si>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</si>
  <si>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</si>
  <si>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</si>
  <si>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</si>
  <si>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</si>
  <si>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</si>
  <si>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</si>
  <si>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</si>
  <si>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</si>
  <si>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</si>
  <si>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</si>
  <si>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</si>
  <si>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</si>
  <si>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</si>
  <si>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</si>
  <si>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</si>
  <si>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</si>
  <si>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</si>
  <si>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</si>
  <si>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</si>
  <si>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</si>
  <si>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</si>
  <si>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</si>
  <si>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</si>
  <si>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</si>
  <si>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</si>
  <si>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</si>
  <si>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</si>
  <si>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</si>
  <si>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</si>
  <si>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</si>
  <si>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</si>
  <si>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</si>
  <si>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</si>
  <si>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</si>
  <si>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</si>
  <si>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</si>
  <si>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</si>
  <si>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</si>
  <si>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</si>
  <si>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</si>
  <si>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</si>
  <si>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</si>
  <si>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</si>
  <si>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</si>
  <si>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</si>
  <si>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</si>
  <si>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</si>
  <si>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</si>
  <si>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</si>
  <si>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</si>
  <si>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</si>
  <si>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</si>
  <si>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</si>
  <si>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</si>
  <si>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</si>
  <si>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</si>
  <si>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</si>
  <si>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</si>
  <si>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</si>
  <si>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</si>
  <si>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</si>
  <si>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</si>
  <si>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</si>
  <si>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</si>
  <si>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</si>
  <si>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</si>
  <si>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</si>
  <si>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</si>
  <si>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</si>
  <si>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</si>
  <si>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</si>
  <si>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</si>
  <si>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</si>
  <si>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</si>
  <si>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</si>
  <si>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</si>
  <si>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</si>
  <si>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</si>
  <si>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</si>
  <si>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</si>
  <si>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</si>
  <si>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</si>
  <si>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</si>
  <si>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</si>
  <si>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</si>
  <si>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</si>
  <si>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</si>
  <si>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</si>
  <si>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</si>
  <si>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</si>
  <si>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</si>
  <si>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</si>
  <si>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</si>
  <si>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</si>
  <si>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</si>
  <si>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</si>
  <si>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</si>
  <si>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</si>
  <si>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</si>
  <si>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</si>
  <si>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</si>
  <si>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</si>
  <si>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</si>
  <si>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</si>
  <si>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</si>
  <si>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</si>
  <si>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</si>
  <si>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</si>
  <si>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</si>
  <si>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</si>
  <si>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</si>
  <si>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</si>
  <si>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</si>
  <si>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</si>
  <si>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</si>
  <si>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</si>
  <si>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</si>
  <si>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</si>
  <si>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</si>
  <si>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</si>
  <si>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</si>
  <si>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</si>
  <si>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</si>
  <si>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</si>
  <si>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</si>
  <si>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</si>
  <si>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</si>
  <si>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</si>
  <si>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</si>
  <si>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</si>
  <si>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</si>
  <si>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</si>
  <si>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</si>
  <si>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</si>
  <si>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</si>
  <si>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</si>
  <si>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</si>
  <si>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</si>
  <si>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</si>
  <si>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</si>
  <si>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</si>
  <si>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</si>
  <si>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</si>
  <si>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</si>
  <si>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</si>
  <si>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</si>
  <si>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</si>
  <si>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</si>
  <si>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</si>
  <si>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</si>
  <si>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</si>
  <si>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</si>
  <si>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</si>
  <si>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</si>
  <si>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</si>
  <si>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</si>
  <si>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</si>
  <si>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</si>
  <si>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</si>
  <si>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</si>
  <si>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</si>
  <si>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</si>
  <si>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</si>
  <si>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</si>
  <si>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</si>
  <si>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</si>
  <si>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</si>
  <si>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</si>
  <si>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</si>
  <si>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</si>
  <si>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</si>
  <si>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</si>
  <si>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</si>
  <si>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</si>
  <si>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</si>
  <si>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</si>
  <si>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</si>
  <si>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</si>
  <si>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</si>
  <si>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</si>
  <si>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</si>
  <si>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</si>
  <si>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</si>
  <si>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</si>
  <si>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</si>
  <si>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</si>
  <si>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</si>
  <si>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</si>
  <si>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</si>
  <si>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</si>
  <si>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</si>
  <si>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</si>
  <si>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</si>
  <si>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</si>
  <si>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</si>
  <si>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</si>
  <si>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</si>
  <si>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</si>
  <si>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</si>
  <si>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</si>
  <si>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</si>
  <si>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</si>
  <si>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</si>
  <si>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</si>
  <si>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</si>
  <si>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</si>
  <si>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</si>
  <si>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</si>
  <si>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</si>
  <si>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</si>
  <si>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</si>
  <si>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</si>
  <si>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</si>
  <si>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</si>
  <si>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</si>
  <si>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</si>
  <si>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</si>
  <si>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</si>
  <si>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</si>
  <si>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</si>
  <si>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</si>
  <si>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</si>
  <si>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</si>
  <si>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</si>
  <si>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</si>
  <si>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</si>
  <si>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</si>
  <si>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</si>
  <si>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</si>
  <si>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</si>
  <si>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</si>
  <si>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</si>
  <si>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</si>
  <si>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</si>
  <si>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</si>
  <si>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</si>
  <si>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</si>
  <si>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</si>
  <si>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</si>
  <si>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</si>
  <si>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</si>
  <si>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</si>
  <si>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</si>
  <si>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</si>
  <si>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</si>
  <si>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</si>
  <si>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</si>
  <si>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</si>
  <si>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</si>
  <si>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</si>
  <si>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</si>
  <si>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</si>
  <si>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</si>
  <si>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</si>
  <si>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</si>
  <si>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</si>
  <si>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</si>
  <si>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</si>
  <si>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</si>
  <si>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</si>
  <si>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</si>
  <si>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</si>
  <si>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</si>
  <si>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</si>
  <si>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</si>
  <si>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</si>
  <si>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</si>
  <si>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</si>
  <si>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</si>
  <si>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</si>
  <si>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</si>
  <si>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</si>
  <si>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</si>
  <si>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</si>
  <si>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</si>
  <si>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</si>
  <si>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</si>
  <si>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</si>
  <si>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</si>
  <si>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</si>
  <si>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</si>
  <si>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</si>
  <si>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</si>
  <si>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</si>
  <si>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</si>
  <si>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</si>
  <si>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</si>
  <si>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</si>
  <si>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</si>
  <si>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</si>
  <si>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</si>
  <si>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</si>
  <si>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</si>
  <si>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</si>
  <si>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</si>
  <si>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</si>
  <si>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</si>
  <si>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</si>
  <si>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</si>
  <si>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</si>
  <si>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</si>
  <si>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</si>
  <si>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</si>
  <si>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</si>
  <si>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</si>
  <si>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</si>
  <si>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</si>
  <si>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</si>
  <si>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</si>
  <si>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</si>
  <si>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</si>
  <si>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</si>
  <si>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</si>
  <si>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</si>
  <si>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</si>
  <si>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</si>
  <si>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</si>
  <si>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</si>
  <si>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</si>
  <si>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</si>
  <si>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</si>
  <si>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</si>
  <si>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</si>
  <si>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</si>
  <si>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</si>
  <si>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</si>
  <si>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</si>
  <si>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</si>
  <si>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</si>
  <si>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</si>
  <si>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</si>
  <si>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</si>
  <si>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</si>
  <si>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</si>
  <si>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</si>
  <si>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</si>
  <si>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</si>
  <si>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</si>
  <si>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</si>
  <si>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</si>
  <si>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</si>
  <si>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</si>
  <si>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</si>
  <si>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</si>
  <si>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</si>
  <si>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</si>
  <si>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</si>
  <si>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</si>
  <si>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</si>
  <si>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</si>
  <si>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</si>
  <si>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</si>
  <si>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</si>
  <si>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</si>
  <si>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</si>
  <si>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</si>
  <si>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</si>
  <si>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</si>
  <si>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</si>
  <si>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</si>
  <si>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</si>
  <si>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</si>
  <si>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</si>
  <si>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</si>
  <si>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</si>
  <si>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</si>
  <si>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</si>
  <si>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</si>
  <si>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</si>
  <si>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</si>
  <si>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</si>
  <si>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</si>
  <si>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</si>
  <si>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</si>
  <si>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</si>
  <si>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</si>
  <si>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</si>
  <si>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</si>
  <si>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</si>
  <si>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</si>
  <si>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</si>
  <si>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</si>
  <si>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</si>
  <si>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</si>
  <si>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</si>
  <si>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</si>
  <si>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</si>
  <si>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</si>
  <si>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</si>
  <si>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</si>
  <si>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</si>
  <si>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</si>
  <si>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</si>
  <si>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</si>
  <si>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</si>
  <si>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</si>
  <si>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</si>
  <si>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</si>
  <si>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</si>
  <si>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</si>
  <si>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</si>
  <si>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</si>
  <si>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</si>
  <si>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</si>
  <si>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</si>
  <si>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</si>
  <si>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</si>
  <si>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</si>
  <si>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</si>
  <si>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</si>
  <si>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</si>
  <si>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</si>
  <si>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</si>
  <si>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</si>
  <si>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</si>
  <si>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</si>
  <si>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</si>
  <si>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</si>
  <si>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</si>
  <si>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</si>
  <si>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</si>
  <si>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</si>
  <si>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</si>
  <si>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</si>
  <si>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</si>
  <si>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</si>
  <si>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</si>
  <si>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</si>
  <si>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</si>
  <si>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</si>
  <si>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</si>
  <si>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</si>
  <si>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</si>
  <si>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</si>
  <si>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</si>
  <si>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</si>
  <si>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</si>
  <si>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</si>
  <si>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</si>
  <si>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</si>
  <si>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</si>
  <si>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</si>
  <si>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</si>
  <si>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</si>
  <si>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</si>
  <si>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</si>
  <si>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</si>
  <si>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</si>
  <si>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</si>
  <si>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</si>
  <si>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</si>
  <si>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</si>
  <si>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</si>
  <si>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</si>
  <si>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</si>
  <si>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</si>
  <si>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</si>
  <si>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</si>
  <si>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</si>
  <si>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</si>
  <si>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</si>
  <si>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</si>
  <si>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</si>
  <si>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</si>
  <si>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</si>
  <si>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</si>
  <si>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</si>
  <si>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</si>
  <si>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</si>
  <si>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</si>
  <si>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</si>
  <si>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</si>
  <si>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</si>
  <si>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</si>
  <si>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</si>
  <si>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</si>
  <si>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</si>
  <si>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</si>
  <si>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</si>
  <si>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</si>
  <si>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</si>
  <si>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</si>
  <si>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</si>
  <si>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</si>
  <si>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</si>
  <si>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</si>
  <si>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</si>
  <si>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</si>
  <si>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</si>
  <si>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</si>
  <si>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</si>
  <si>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</si>
  <si>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</si>
  <si>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</si>
  <si>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</si>
  <si>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</si>
  <si>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</si>
  <si>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</si>
  <si>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</si>
  <si>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</si>
  <si>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</si>
  <si>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</si>
  <si>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</si>
  <si>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</si>
  <si>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</si>
  <si>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</si>
  <si>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</si>
  <si>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</si>
  <si>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</si>
  <si>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</si>
  <si>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</si>
  <si>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</si>
  <si>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</si>
  <si>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</si>
  <si>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</si>
  <si>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</si>
  <si>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</si>
  <si>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</si>
  <si>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</si>
  <si>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</si>
  <si>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</si>
  <si>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</si>
  <si>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</si>
  <si>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</si>
  <si>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</si>
  <si>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</si>
  <si>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</si>
  <si>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</si>
  <si>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</si>
  <si>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</si>
  <si>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</si>
  <si>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</si>
  <si>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</si>
  <si>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</si>
  <si>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</si>
  <si>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</si>
  <si>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</si>
  <si>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</si>
  <si>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</si>
  <si>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</si>
  <si>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</si>
  <si>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</si>
  <si>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</si>
  <si>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</si>
  <si>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</si>
  <si>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</si>
  <si>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</si>
  <si>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</si>
  <si>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</si>
  <si>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</si>
  <si>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</si>
  <si>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</si>
  <si>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</si>
  <si>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</si>
  <si>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</si>
  <si>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</si>
  <si>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</si>
  <si>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</si>
  <si>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</si>
  <si>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</si>
  <si>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</si>
  <si>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</si>
  <si>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</si>
  <si>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</si>
  <si>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</si>
  <si>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</si>
  <si>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</si>
  <si>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</si>
  <si>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</si>
  <si>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</si>
  <si>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</si>
  <si>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</si>
  <si>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</si>
  <si>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</si>
  <si>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</si>
  <si>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</si>
  <si>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</si>
  <si>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</si>
  <si>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</si>
  <si>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</si>
  <si>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</si>
  <si>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</si>
  <si>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</si>
  <si>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</si>
  <si>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</si>
  <si>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</si>
  <si>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</si>
  <si>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</si>
  <si>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</si>
  <si>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</si>
  <si>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</si>
  <si>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</si>
  <si>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</si>
  <si>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</si>
  <si>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</si>
  <si>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</si>
  <si>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</si>
  <si>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</si>
  <si>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</si>
  <si>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</si>
  <si>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</si>
  <si>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</si>
  <si>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</si>
  <si>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</si>
  <si>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</si>
  <si>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</si>
  <si>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</si>
  <si>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</si>
  <si>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</si>
  <si>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</si>
  <si>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</si>
  <si>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</si>
  <si>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</si>
  <si>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</si>
  <si>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</si>
  <si>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</si>
  <si>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</si>
  <si>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</si>
  <si>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</si>
  <si>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</si>
  <si>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</si>
  <si>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</si>
  <si>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</si>
  <si>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</si>
  <si>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</si>
  <si>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</si>
  <si>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</si>
  <si>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</si>
  <si>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</si>
  <si>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</si>
  <si>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</si>
  <si>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</si>
  <si>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</si>
  <si>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</si>
  <si>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</si>
  <si>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</si>
  <si>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</si>
  <si>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</si>
  <si>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</si>
  <si>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</si>
  <si>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</si>
  <si>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</si>
  <si>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</si>
  <si>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</si>
  <si>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</si>
  <si>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</si>
  <si>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</si>
  <si>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</si>
  <si>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</si>
  <si>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</si>
  <si>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</si>
  <si>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</si>
  <si>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</si>
  <si>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</si>
  <si>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</si>
  <si>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</si>
  <si>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</si>
  <si>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</si>
  <si>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</si>
  <si>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</si>
  <si>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</si>
  <si>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</si>
  <si>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</si>
  <si>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</si>
  <si>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</si>
  <si>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</si>
  <si>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</si>
  <si>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</si>
  <si>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</si>
  <si>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</si>
  <si>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</si>
  <si>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</si>
  <si>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</si>
  <si>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</si>
  <si>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</si>
  <si>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</si>
  <si>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</si>
  <si>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</si>
  <si>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</si>
  <si>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</si>
  <si>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</si>
  <si>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</si>
  <si>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</si>
  <si>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</si>
  <si>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</si>
  <si>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</si>
  <si>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</si>
  <si>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</si>
  <si>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</si>
  <si>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</si>
  <si>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</si>
  <si>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</si>
  <si>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</si>
  <si>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</si>
  <si>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</si>
  <si>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</si>
  <si>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</si>
  <si>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</si>
  <si>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</si>
  <si>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</si>
  <si>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</si>
  <si>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</si>
  <si>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</si>
  <si>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</si>
  <si>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</si>
  <si>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</si>
  <si>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</si>
  <si>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</si>
  <si>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</si>
  <si>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</si>
  <si>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</si>
  <si>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</si>
  <si>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</si>
  <si>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</si>
  <si>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</si>
  <si>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</si>
  <si>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</si>
  <si>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</si>
  <si>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</si>
  <si>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</si>
  <si>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</si>
  <si>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</si>
  <si>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</si>
  <si>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</si>
  <si>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</si>
  <si>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</si>
  <si>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</si>
  <si>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</si>
  <si>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</si>
  <si>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</si>
  <si>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</si>
  <si>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</si>
  <si>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</si>
  <si>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</si>
  <si>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</si>
  <si>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</si>
  <si>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</si>
  <si>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</si>
  <si>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</si>
  <si>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</si>
  <si>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</si>
  <si>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</si>
  <si>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</si>
  <si>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</si>
  <si>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</si>
  <si>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</si>
  <si>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</si>
  <si>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</si>
  <si>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</si>
  <si>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</si>
  <si>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</si>
  <si>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</si>
  <si>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</si>
  <si>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</si>
  <si>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</si>
  <si>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</si>
  <si>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</si>
  <si>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</si>
  <si>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</si>
  <si>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</si>
  <si>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</si>
  <si>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</si>
  <si>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</si>
  <si>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</si>
  <si>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</si>
  <si>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</si>
  <si>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</si>
  <si>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</si>
  <si>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</si>
  <si>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</si>
  <si>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</si>
  <si>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</si>
  <si>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</si>
  <si>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</si>
  <si>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</si>
  <si>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</si>
  <si>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</si>
  <si>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</si>
  <si>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</si>
  <si>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</si>
  <si>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</si>
  <si>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</si>
  <si>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</si>
  <si>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</si>
  <si>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</si>
  <si>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</si>
  <si>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</si>
  <si>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</si>
  <si>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</si>
  <si>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</si>
  <si>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</si>
  <si>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</si>
  <si>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</si>
  <si>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</si>
  <si>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</si>
  <si>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</si>
  <si>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</si>
  <si>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</si>
  <si>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</si>
  <si>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</si>
  <si>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</si>
  <si>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</si>
  <si>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</si>
  <si>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</si>
  <si>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</si>
  <si>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</si>
  <si>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</si>
  <si>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</si>
  <si>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</si>
  <si>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</si>
  <si>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</si>
  <si>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</si>
  <si>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</si>
  <si>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</si>
  <si>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</si>
  <si>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</si>
  <si>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</si>
  <si>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</si>
  <si>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</si>
  <si>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</si>
  <si>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</si>
  <si>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</si>
  <si>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</si>
  <si>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</si>
  <si>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</si>
  <si>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</si>
  <si>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</si>
  <si>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</si>
  <si>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</si>
  <si>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</si>
  <si>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</si>
  <si>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</si>
  <si>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</si>
  <si>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</si>
  <si>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</si>
  <si>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</si>
  <si>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</si>
  <si>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</si>
  <si>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</si>
  <si>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</si>
  <si>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</si>
  <si>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</si>
  <si>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</si>
  <si>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</si>
  <si>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</si>
  <si>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</si>
  <si>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</si>
  <si>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</si>
  <si>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</si>
  <si>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</si>
  <si>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</si>
  <si>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</si>
  <si>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</si>
  <si>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</si>
  <si>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</si>
  <si>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</si>
  <si>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</si>
  <si>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</si>
  <si>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</si>
  <si>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</si>
  <si>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</si>
  <si>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</si>
  <si>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</si>
  <si>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</si>
  <si>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</si>
  <si>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</si>
  <si>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</si>
  <si>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</si>
  <si>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</si>
  <si>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</si>
  <si>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</si>
  <si>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</si>
  <si>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</si>
  <si>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</si>
  <si>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</si>
  <si>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</si>
  <si>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</si>
  <si>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</si>
  <si>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</si>
  <si>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</si>
  <si>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</si>
  <si>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</si>
  <si>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</si>
  <si>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</si>
  <si>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</si>
  <si>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</si>
  <si>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</si>
  <si>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</si>
  <si>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</si>
  <si>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</si>
  <si>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</si>
  <si>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</si>
  <si>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</si>
  <si>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</si>
  <si>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</si>
  <si>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</si>
  <si>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</si>
  <si>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</si>
  <si>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</si>
  <si>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</si>
  <si>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</si>
  <si>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</si>
  <si>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</si>
  <si>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</si>
  <si>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</si>
  <si>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</si>
  <si>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</si>
  <si>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</si>
  <si>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</si>
  <si>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</si>
  <si>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</si>
  <si>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</si>
  <si>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</si>
  <si>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</si>
  <si>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</si>
  <si>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</si>
  <si>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</si>
  <si>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</si>
  <si>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</si>
  <si>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</si>
  <si>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</si>
  <si>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</si>
  <si>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</si>
  <si>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</si>
  <si>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</si>
  <si>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</si>
  <si>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</si>
  <si>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</si>
  <si>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</si>
  <si>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</si>
  <si>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</si>
  <si>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</si>
  <si>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</si>
  <si>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</si>
  <si>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</si>
  <si>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</si>
  <si>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</si>
  <si>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</si>
  <si>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</si>
  <si>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</si>
  <si>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</si>
  <si>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</si>
  <si>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</si>
  <si>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</si>
  <si>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</si>
  <si>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</si>
  <si>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</si>
  <si>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</si>
  <si>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</si>
  <si>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</si>
  <si>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</si>
  <si>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</si>
  <si>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</si>
  <si>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</si>
  <si>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</si>
  <si>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</si>
  <si>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</si>
  <si>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</si>
  <si>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</si>
  <si>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</si>
  <si>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</si>
  <si>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</si>
  <si>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</si>
  <si>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</si>
  <si>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</si>
  <si>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</si>
  <si>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</si>
  <si>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</si>
  <si>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</si>
  <si>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</si>
  <si>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</si>
  <si>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</si>
  <si>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</si>
  <si>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</si>
  <si>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</si>
  <si>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</si>
  <si>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</si>
  <si>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</si>
  <si>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</si>
  <si>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</si>
  <si>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</si>
  <si>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</si>
  <si>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</si>
  <si>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</si>
  <si>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</si>
  <si>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</si>
  <si>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</si>
  <si>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</si>
  <si>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</si>
  <si>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</si>
  <si>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</si>
  <si>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</si>
  <si>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</si>
  <si>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</si>
  <si>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</si>
  <si>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</si>
  <si>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</si>
  <si>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</si>
  <si>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</si>
  <si>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</si>
  <si>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</si>
  <si>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</si>
  <si>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</si>
  <si>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</si>
  <si>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</si>
  <si>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</si>
  <si>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</si>
  <si>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</si>
  <si>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</si>
  <si>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</si>
  <si>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</si>
  <si>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</si>
  <si>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</si>
  <si>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</si>
  <si>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</si>
  <si>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</si>
  <si>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</si>
  <si>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</si>
  <si>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</si>
  <si>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</si>
  <si>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</si>
  <si>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</si>
  <si>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</si>
  <si>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</si>
  <si>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</si>
  <si>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</si>
  <si>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</si>
  <si>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</si>
  <si>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</si>
  <si>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</si>
  <si>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</si>
  <si>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</si>
  <si>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</si>
  <si>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</si>
  <si>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</si>
  <si>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</si>
  <si>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</si>
  <si>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</si>
  <si>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</si>
  <si>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</si>
  <si>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</si>
  <si>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</si>
  <si>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</si>
  <si>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</si>
  <si>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</si>
  <si>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</si>
  <si>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</si>
  <si>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</si>
  <si>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</si>
  <si>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</si>
  <si>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</si>
  <si>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</si>
  <si>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</si>
  <si>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</si>
  <si>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</si>
  <si>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</si>
  <si>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</si>
  <si>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</si>
  <si>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</si>
  <si>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</si>
  <si>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</si>
  <si>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</si>
  <si>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</si>
  <si>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</si>
  <si>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</si>
  <si>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</si>
  <si>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</si>
  <si>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</si>
  <si>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</si>
  <si>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</si>
  <si>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</si>
  <si>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</si>
  <si>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</si>
  <si>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</si>
  <si>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</si>
  <si>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</si>
  <si>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</si>
  <si>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</si>
  <si>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</si>
  <si>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</si>
  <si>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</si>
  <si>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</si>
  <si>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</si>
  <si>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</si>
  <si>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</si>
  <si>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</si>
  <si>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</si>
  <si>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</si>
  <si>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</si>
  <si>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</si>
  <si>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</si>
  <si>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</si>
  <si>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</si>
  <si>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</si>
  <si>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</si>
  <si>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</si>
  <si>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</si>
  <si>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</si>
  <si>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</si>
  <si>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</si>
  <si>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</si>
  <si>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</si>
  <si>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</si>
  <si>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</si>
  <si>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</si>
  <si>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</si>
  <si>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</si>
  <si>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</si>
  <si>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</si>
  <si>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</si>
  <si>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</si>
  <si>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</si>
  <si>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</si>
  <si>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</si>
  <si>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</si>
  <si>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</si>
  <si>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</si>
  <si>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</si>
  <si>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</si>
  <si>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</si>
  <si>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</si>
  <si>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</si>
  <si>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</si>
  <si>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</si>
  <si>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</si>
  <si>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</si>
  <si>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</si>
  <si>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</si>
  <si>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</si>
  <si>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</si>
  <si>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</si>
  <si>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</si>
  <si>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</si>
  <si>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</si>
  <si>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</si>
  <si>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</si>
  <si>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</si>
  <si>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</si>
  <si>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</si>
  <si>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</si>
  <si>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</si>
  <si>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</si>
  <si>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</si>
  <si>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</si>
  <si>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</si>
  <si>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</si>
  <si>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</si>
  <si>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</si>
  <si>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</si>
  <si>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</si>
  <si>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</si>
  <si>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</si>
  <si>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</si>
  <si>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</si>
  <si>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</si>
  <si>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</si>
  <si>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</si>
  <si>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</si>
  <si>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</si>
  <si>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</si>
  <si>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</si>
  <si>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</si>
  <si>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</si>
  <si>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</si>
  <si>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</si>
  <si>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</si>
  <si>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</si>
  <si>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</si>
  <si>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</si>
  <si>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</si>
  <si>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</si>
  <si>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</si>
  <si>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</si>
  <si>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</si>
  <si>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</si>
  <si>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</si>
  <si>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</si>
  <si>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</si>
  <si>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</si>
  <si>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</si>
  <si>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</si>
  <si>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</si>
  <si>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</si>
  <si>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</si>
  <si>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</si>
  <si>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</si>
  <si>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</si>
  <si>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</si>
  <si>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</si>
  <si>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</si>
  <si>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</si>
  <si>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</si>
  <si>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</si>
  <si>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</si>
  <si>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</si>
  <si>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</si>
  <si>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</si>
  <si>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</si>
  <si>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</si>
  <si>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</si>
  <si>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</si>
  <si>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</si>
  <si>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</si>
  <si>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</si>
  <si>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</si>
  <si>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</si>
  <si>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</si>
  <si>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</si>
  <si>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</si>
  <si>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</si>
  <si>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</si>
  <si>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</si>
  <si>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</si>
  <si>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</si>
  <si>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</si>
  <si>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</si>
  <si>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</si>
  <si>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</si>
  <si>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</si>
  <si>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</si>
  <si>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</si>
  <si>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</si>
  <si>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</si>
  <si>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</si>
  <si>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</si>
  <si>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</si>
  <si>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</si>
  <si>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</si>
  <si>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</si>
  <si>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</si>
  <si>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</si>
  <si>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</si>
  <si>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</si>
  <si>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</si>
  <si>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</si>
  <si>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</si>
  <si>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</si>
  <si>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</si>
  <si>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</si>
  <si>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</si>
  <si>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</si>
  <si>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</si>
  <si>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</si>
  <si>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</si>
  <si>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</si>
  <si>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</si>
  <si>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</si>
  <si>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</si>
  <si>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</si>
  <si>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</si>
  <si>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</si>
  <si>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</si>
  <si>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</si>
  <si>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</si>
  <si>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</si>
  <si>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</si>
  <si>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</si>
  <si>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</si>
  <si>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</si>
  <si>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</si>
  <si>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</si>
  <si>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</si>
  <si>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</si>
  <si>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</si>
  <si>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</si>
  <si>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</si>
  <si>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</si>
  <si>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</si>
  <si>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</si>
  <si>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</si>
  <si>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</si>
  <si>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</si>
  <si>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</si>
  <si>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</si>
  <si>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</si>
  <si>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</si>
  <si>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</si>
  <si>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</si>
  <si>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</si>
  <si>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</si>
  <si>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</si>
  <si>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</si>
  <si>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</si>
  <si>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</si>
  <si>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</si>
  <si>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</si>
  <si>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</si>
  <si>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</si>
  <si>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</si>
  <si>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</si>
  <si>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</si>
  <si>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</si>
  <si>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</si>
  <si>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</si>
  <si>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</si>
  <si>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</si>
  <si>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</si>
  <si>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</si>
  <si>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</si>
  <si>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</si>
  <si>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</si>
  <si>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</si>
  <si>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</si>
  <si>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</si>
  <si>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</si>
  <si>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</si>
  <si>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</si>
  <si>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</si>
  <si>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</si>
  <si>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</si>
  <si>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</si>
  <si>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</si>
  <si>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</si>
  <si>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</si>
  <si>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</si>
  <si>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</si>
  <si>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</si>
  <si>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</si>
  <si>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</si>
  <si>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</si>
  <si>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</si>
  <si>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</si>
  <si>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</si>
  <si>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</si>
  <si>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</si>
  <si>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</si>
  <si>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</si>
  <si>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</si>
  <si>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</si>
  <si>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</si>
  <si>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</si>
  <si>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</si>
  <si>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</si>
  <si>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</si>
  <si>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</si>
  <si>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</si>
  <si>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</si>
  <si>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</si>
  <si>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</si>
  <si>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</si>
  <si>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</si>
  <si>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</si>
  <si>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</si>
  <si>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</si>
  <si>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</si>
  <si>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</si>
  <si>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</si>
  <si>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</si>
  <si>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</si>
  <si>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</si>
  <si>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</si>
  <si>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</si>
  <si>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</si>
  <si>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</si>
  <si>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</si>
  <si>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</si>
  <si>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</si>
  <si>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</si>
  <si>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</si>
  <si>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</si>
  <si>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</si>
  <si>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</si>
  <si>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</si>
  <si>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</si>
  <si>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</si>
  <si>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</si>
  <si>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</si>
  <si>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</si>
  <si>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</si>
  <si>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</si>
  <si>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</si>
  <si>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</si>
  <si>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</si>
  <si>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</si>
  <si>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</si>
  <si>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</si>
  <si>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</si>
  <si>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</si>
  <si>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</si>
  <si>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</si>
  <si>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</si>
  <si>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</si>
  <si>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</si>
  <si>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</si>
  <si>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</si>
  <si>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</si>
  <si>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</si>
  <si>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</si>
  <si>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</si>
  <si>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</si>
  <si>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</si>
  <si>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</si>
  <si>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</si>
  <si>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</si>
  <si>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</si>
  <si>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</si>
  <si>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</si>
  <si>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</si>
  <si>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</si>
  <si>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</si>
  <si>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</si>
  <si>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</si>
  <si>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</si>
  <si>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</si>
  <si>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</si>
  <si>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</si>
  <si>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</si>
  <si>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</si>
  <si>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</si>
  <si>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</si>
  <si>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</si>
  <si>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</si>
  <si>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</si>
  <si>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</si>
  <si>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</si>
  <si>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</si>
  <si>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</si>
  <si>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</si>
  <si>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</si>
  <si>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</si>
  <si>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</si>
  <si>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</si>
  <si>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</si>
  <si>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</si>
  <si>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</si>
  <si>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</si>
  <si>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</si>
  <si>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</si>
  <si>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</si>
  <si>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</si>
  <si>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</si>
  <si>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</si>
  <si>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</si>
  <si>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</si>
  <si>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</si>
  <si>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</si>
  <si>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</si>
  <si>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</si>
  <si>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</si>
  <si>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</si>
  <si>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</si>
  <si>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</si>
  <si>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</si>
  <si>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</si>
  <si>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</si>
  <si>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</si>
  <si>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</si>
  <si>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</si>
  <si>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</si>
  <si>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</si>
  <si>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</si>
  <si>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</si>
  <si>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</si>
  <si>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</si>
  <si>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</si>
  <si>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</si>
  <si>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</si>
  <si>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</si>
  <si>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</si>
  <si>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</si>
  <si>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</si>
  <si>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</si>
  <si>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</si>
  <si>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</si>
  <si>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</si>
  <si>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</si>
  <si>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</si>
  <si>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</si>
  <si>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</si>
  <si>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</si>
  <si>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</si>
  <si>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</si>
  <si>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</si>
  <si>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</si>
  <si>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</si>
  <si>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</si>
  <si>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</si>
  <si>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</si>
  <si>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</si>
  <si>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</si>
  <si>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</si>
  <si>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</si>
  <si>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</si>
  <si>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</si>
  <si>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</si>
  <si>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</si>
  <si>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</si>
  <si>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</si>
  <si>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</si>
  <si>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</si>
  <si>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</si>
  <si>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</si>
  <si>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</si>
  <si>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</si>
  <si>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</si>
  <si>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</si>
  <si>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</si>
  <si>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</si>
  <si>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</si>
  <si>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</si>
  <si>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</si>
  <si>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</si>
  <si>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</si>
  <si>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</si>
  <si>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</si>
  <si>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</si>
  <si>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</si>
  <si>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</si>
  <si>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</si>
  <si>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</si>
  <si>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</si>
  <si>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</si>
  <si>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</si>
  <si>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</si>
  <si>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</si>
  <si>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</si>
  <si>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</si>
  <si>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</si>
  <si>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</si>
  <si>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</si>
  <si>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</si>
  <si>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</si>
  <si>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</si>
  <si>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</si>
  <si>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</si>
  <si>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</si>
  <si>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</si>
  <si>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</si>
  <si>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</si>
  <si>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</si>
  <si>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</si>
  <si>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</si>
  <si>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</si>
  <si>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</si>
  <si>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</si>
  <si>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</si>
  <si>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</si>
  <si>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</si>
  <si>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</si>
  <si>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</si>
  <si>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</si>
  <si>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</si>
  <si>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</si>
  <si>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</si>
  <si>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</si>
  <si>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</si>
  <si>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</si>
  <si>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</si>
  <si>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</si>
  <si>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</si>
  <si>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</si>
  <si>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</si>
  <si>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</si>
  <si>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</si>
  <si>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</si>
  <si>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</si>
  <si>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</si>
  <si>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</si>
  <si>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</si>
  <si>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</si>
  <si>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</si>
  <si>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</si>
  <si>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</si>
  <si>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</si>
  <si>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</si>
  <si>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</si>
  <si>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</si>
  <si>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</si>
  <si>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</si>
  <si>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</si>
  <si>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</si>
  <si>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</si>
  <si>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</si>
  <si>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</si>
  <si>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</si>
  <si>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</si>
  <si>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</si>
  <si>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</si>
  <si>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</si>
  <si>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</si>
  <si>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</si>
  <si>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</si>
  <si>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</si>
  <si>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</si>
  <si>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</si>
  <si>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</si>
  <si>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</si>
  <si>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</si>
  <si>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</si>
  <si>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</si>
  <si>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</si>
  <si>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</si>
  <si>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</si>
  <si>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</si>
  <si>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</si>
  <si>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</si>
  <si>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</si>
  <si>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</si>
  <si>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</si>
  <si>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</si>
  <si>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</si>
  <si>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</si>
  <si>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</si>
  <si>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</si>
  <si>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</si>
  <si>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</si>
  <si>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</si>
  <si>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</si>
  <si>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</si>
  <si>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</si>
  <si>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</si>
  <si>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</si>
  <si>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</si>
  <si>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</si>
  <si>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</si>
  <si>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</si>
  <si>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</si>
  <si>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</si>
  <si>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</si>
  <si>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</si>
  <si>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</si>
  <si>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</si>
  <si>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</si>
  <si>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</si>
  <si>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</si>
  <si>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</si>
  <si>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</si>
  <si>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</si>
  <si>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</si>
  <si>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</si>
  <si>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</si>
  <si>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</si>
  <si>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</si>
  <si>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</si>
  <si>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</si>
  <si>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</si>
  <si>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</si>
  <si>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</si>
  <si>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</si>
  <si>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</si>
  <si>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</si>
  <si>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</si>
  <si>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</si>
  <si>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</si>
  <si>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</si>
  <si>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</si>
  <si>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</si>
  <si>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</si>
  <si>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</si>
  <si>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</si>
  <si>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</si>
  <si>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</si>
  <si>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</si>
  <si>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</si>
  <si>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</si>
  <si>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</si>
  <si>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</si>
  <si>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</si>
  <si>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</si>
  <si>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</si>
  <si>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</si>
  <si>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</si>
  <si>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</si>
  <si>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</si>
  <si>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</si>
  <si>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</si>
  <si>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</si>
  <si>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</si>
  <si>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</si>
  <si>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</si>
  <si>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</si>
  <si>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</si>
  <si>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</si>
  <si>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</si>
  <si>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</si>
  <si>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</si>
  <si>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</si>
  <si>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</si>
  <si>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</si>
  <si>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</si>
  <si>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</si>
  <si>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</si>
  <si>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</si>
  <si>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</si>
  <si>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</si>
  <si>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</si>
  <si>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</si>
  <si>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</si>
  <si>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</si>
  <si>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</si>
  <si>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</si>
  <si>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</si>
  <si>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</si>
  <si>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</si>
  <si>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</si>
  <si>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</si>
  <si>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</si>
  <si>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</si>
  <si>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</si>
  <si>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</si>
  <si>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</si>
  <si>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</si>
  <si>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</si>
  <si>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</si>
  <si>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</si>
  <si>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</si>
  <si>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</si>
  <si>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</si>
  <si>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</si>
  <si>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</si>
  <si>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</si>
  <si>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</si>
  <si>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</si>
  <si>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</si>
  <si>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</si>
  <si>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</si>
  <si>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</si>
  <si>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</si>
  <si>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</si>
  <si>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</si>
  <si>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</si>
  <si>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</si>
  <si>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</si>
  <si>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</si>
  <si>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</si>
  <si>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</si>
  <si>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</si>
  <si>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</si>
  <si>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</si>
  <si>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</si>
  <si>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</si>
  <si>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</si>
  <si>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</si>
  <si>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</si>
  <si>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</si>
  <si>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</si>
  <si>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</si>
  <si>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</si>
  <si>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</si>
  <si>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</si>
  <si>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</si>
  <si>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</si>
  <si>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</si>
  <si>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</si>
  <si>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</si>
  <si>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</si>
  <si>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</si>
  <si>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</si>
  <si>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</si>
  <si>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</si>
  <si>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</si>
  <si>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</si>
  <si>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</si>
  <si>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</si>
  <si>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</si>
  <si>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</si>
  <si>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</si>
  <si>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</si>
  <si>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</si>
  <si>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</si>
  <si>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</si>
  <si>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</si>
  <si>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</si>
  <si>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</si>
  <si>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</si>
  <si>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</si>
  <si>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</si>
  <si>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</si>
  <si>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</si>
  <si>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</si>
  <si>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</si>
  <si>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</si>
  <si>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</si>
  <si>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</si>
  <si>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</si>
  <si>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</si>
  <si>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</si>
  <si>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</si>
  <si>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</si>
  <si>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</si>
  <si>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</si>
  <si>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</si>
  <si>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</si>
  <si>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</si>
  <si>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</si>
  <si>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</si>
  <si>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</si>
  <si>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</si>
  <si>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</si>
  <si>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</si>
  <si>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</si>
  <si>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</si>
  <si>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</si>
  <si>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</si>
  <si>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</si>
  <si>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</si>
  <si>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</si>
  <si>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</si>
  <si>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</si>
  <si>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</si>
  <si>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</si>
  <si>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</si>
  <si>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</si>
  <si>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</si>
  <si>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</si>
  <si>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</si>
  <si>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</si>
  <si>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</si>
  <si>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</si>
  <si>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</si>
  <si>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</si>
  <si>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</si>
  <si>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</si>
  <si>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</si>
  <si>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</si>
  <si>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</si>
  <si>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</si>
  <si>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</si>
  <si>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</si>
  <si>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</si>
  <si>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</si>
  <si>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</si>
  <si>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</si>
  <si>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</si>
  <si>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</si>
  <si>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</si>
  <si>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</si>
  <si>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</si>
  <si>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</si>
  <si>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</si>
  <si>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</si>
  <si>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</si>
  <si>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</si>
  <si>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</si>
  <si>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</si>
  <si>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</si>
  <si>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</si>
  <si>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</si>
  <si>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</si>
  <si>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</si>
  <si>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</si>
  <si>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</si>
  <si>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</si>
  <si>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</si>
  <si>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</si>
  <si>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</si>
  <si>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</si>
  <si>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</si>
  <si>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</si>
  <si>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</si>
  <si>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</si>
  <si>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</si>
  <si>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</si>
  <si>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</si>
  <si>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</si>
  <si>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</si>
  <si>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</si>
  <si>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</si>
  <si>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</si>
  <si>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</si>
  <si>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</si>
  <si>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</si>
  <si>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</si>
  <si>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</si>
  <si>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</si>
  <si>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</si>
  <si>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</si>
  <si>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</si>
  <si>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</si>
  <si>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</si>
  <si>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</si>
  <si>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</si>
  <si>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</si>
  <si>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</si>
  <si>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</si>
  <si>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</si>
  <si>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</si>
  <si>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</si>
  <si>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</si>
  <si>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</si>
  <si>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</si>
  <si>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</si>
  <si>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</si>
  <si>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</si>
  <si>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</si>
  <si>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</si>
  <si>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</si>
  <si>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</si>
  <si>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</si>
  <si>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</si>
  <si>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</si>
  <si>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</si>
  <si>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</si>
  <si>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</si>
  <si>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</si>
  <si>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</si>
  <si>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</si>
  <si>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</si>
  <si>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</si>
  <si>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</si>
  <si>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</si>
  <si>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</si>
  <si>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</si>
  <si>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</si>
  <si>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</si>
  <si>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</si>
  <si>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</si>
  <si>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</si>
  <si>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</si>
  <si>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</si>
  <si>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</si>
  <si>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</si>
  <si>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</si>
  <si>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</si>
  <si>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</si>
  <si>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</si>
  <si>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</si>
  <si>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</si>
  <si>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</si>
  <si>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</si>
  <si>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</si>
  <si>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</si>
  <si>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</si>
  <si>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</si>
  <si>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</si>
  <si>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</si>
  <si>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</si>
  <si>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</si>
  <si>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</si>
  <si>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</si>
  <si>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</si>
  <si>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</si>
  <si>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</si>
  <si>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</si>
  <si>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</si>
  <si>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</si>
  <si>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</si>
  <si>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</si>
  <si>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</si>
  <si>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</si>
  <si>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</si>
  <si>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</si>
  <si>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</si>
  <si>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</si>
  <si>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</si>
  <si>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</si>
  <si>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</si>
  <si>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</si>
  <si>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</si>
  <si>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</si>
  <si>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</si>
  <si>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</si>
  <si>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</si>
  <si>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</si>
  <si>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</si>
  <si>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</si>
  <si>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</si>
  <si>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</si>
  <si>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</si>
  <si>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</si>
  <si>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</si>
  <si>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</si>
  <si>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</si>
  <si>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</si>
  <si>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</si>
  <si>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</si>
  <si>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</si>
  <si>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</si>
  <si>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</si>
  <si>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</si>
  <si>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</si>
  <si>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</si>
  <si>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</si>
  <si>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</si>
  <si>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</si>
  <si>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</si>
  <si>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</si>
  <si>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</si>
  <si>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</si>
  <si>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</si>
  <si>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</si>
  <si>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</si>
  <si>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</si>
  <si>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</si>
  <si>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</si>
  <si>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</si>
  <si>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</si>
  <si>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</si>
  <si>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</si>
  <si>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</si>
  <si>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</si>
  <si>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</si>
  <si>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</si>
  <si>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</si>
  <si>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</si>
  <si>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</si>
  <si>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</si>
  <si>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</si>
  <si>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</si>
  <si>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</si>
  <si>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</si>
  <si>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</si>
  <si>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</si>
  <si>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</si>
  <si>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</si>
  <si>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</si>
  <si>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</si>
  <si>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</si>
  <si>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</si>
  <si>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</si>
  <si>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</si>
  <si>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</si>
  <si>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</si>
  <si>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</si>
  <si>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</si>
  <si>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</si>
  <si>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</si>
  <si>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</si>
  <si>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</si>
  <si>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</si>
  <si>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</si>
  <si>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</si>
  <si>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</si>
  <si>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</si>
  <si>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</si>
  <si>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</si>
  <si>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</si>
  <si>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</si>
  <si>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</si>
  <si>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</si>
  <si>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</si>
  <si>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</si>
  <si>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</si>
  <si>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</si>
  <si>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</si>
  <si>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</si>
  <si>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</si>
  <si>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</si>
  <si>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</si>
  <si>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</si>
  <si>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</si>
  <si>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</si>
  <si>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</si>
  <si>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</si>
  <si>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</si>
  <si>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</si>
  <si>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</si>
  <si>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</si>
  <si>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</si>
  <si>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</si>
  <si>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</si>
  <si>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</si>
  <si>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</si>
  <si>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</si>
  <si>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</si>
  <si>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</si>
  <si>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</si>
  <si>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</si>
  <si>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</si>
  <si>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</si>
  <si>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</si>
  <si>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</si>
  <si>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</si>
  <si>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</si>
  <si>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</si>
  <si>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</si>
  <si>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</si>
  <si>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</si>
  <si>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</si>
  <si>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</si>
  <si>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</si>
  <si>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</si>
  <si>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</si>
  <si>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</si>
  <si>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</si>
  <si>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</si>
  <si>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</si>
  <si>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</si>
  <si>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</si>
  <si>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</si>
  <si>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</si>
  <si>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</si>
  <si>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</si>
  <si>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</si>
  <si>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</si>
  <si>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</si>
  <si>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</si>
  <si>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</si>
  <si>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</si>
  <si>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</si>
  <si>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</si>
  <si>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</si>
  <si>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</si>
  <si>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</si>
  <si>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</si>
  <si>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</si>
  <si>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</si>
  <si>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</si>
  <si>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</si>
  <si>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</si>
  <si>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</si>
  <si>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</si>
  <si>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</si>
  <si>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</si>
  <si>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</si>
  <si>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</si>
  <si>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</si>
  <si>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</si>
  <si>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</si>
  <si>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</si>
  <si>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</si>
  <si>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</si>
  <si>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</si>
  <si>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</si>
  <si>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</si>
  <si>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</si>
  <si>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</si>
  <si>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</si>
  <si>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</si>
  <si>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</si>
  <si>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</si>
  <si>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</si>
  <si>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</si>
  <si>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</si>
  <si>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</si>
  <si>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</si>
  <si>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</si>
  <si>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</si>
  <si>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</si>
  <si>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</si>
  <si>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</si>
  <si>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</si>
  <si>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</si>
  <si>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</si>
  <si>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</si>
  <si>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</si>
  <si>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</si>
  <si>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</si>
  <si>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</si>
  <si>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</si>
  <si>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</si>
  <si>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</si>
  <si>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</si>
  <si>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</si>
  <si>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</si>
  <si>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</si>
  <si>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</si>
  <si>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</si>
  <si>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</si>
  <si>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</si>
  <si>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</si>
  <si>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</si>
  <si>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</si>
  <si>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</si>
  <si>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</si>
  <si>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</si>
  <si>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</si>
  <si>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</si>
  <si>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</si>
  <si>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</si>
  <si>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</si>
  <si>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</si>
  <si>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</si>
  <si>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</si>
  <si>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</si>
  <si>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</si>
  <si>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</si>
  <si>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</si>
  <si>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</si>
  <si>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</si>
  <si>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</si>
  <si>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</si>
  <si>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</si>
  <si>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</si>
  <si>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</si>
  <si>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</si>
  <si>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</si>
  <si>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</si>
  <si>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</si>
  <si>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</si>
  <si>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</si>
  <si>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</si>
  <si>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</si>
  <si>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</si>
  <si>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</si>
  <si>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</si>
  <si>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</si>
  <si>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</si>
  <si>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</si>
  <si>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</si>
  <si>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</si>
  <si>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</si>
  <si>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</si>
  <si>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</si>
  <si>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</si>
  <si>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</si>
  <si>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</si>
  <si>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</si>
  <si>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</si>
  <si>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</si>
  <si>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</si>
  <si>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</si>
  <si>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</si>
  <si>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</si>
  <si>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</si>
  <si>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</si>
  <si>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</si>
  <si>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</si>
  <si>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</si>
  <si>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</si>
  <si>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</si>
  <si>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</si>
  <si>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</si>
  <si>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</si>
  <si>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</si>
  <si>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</si>
  <si>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</si>
  <si>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</si>
  <si>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</si>
  <si>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</si>
  <si>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</si>
  <si>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</si>
  <si>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</si>
  <si>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</si>
  <si>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</si>
  <si>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</si>
  <si>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</si>
  <si>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</si>
  <si>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</si>
  <si>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</si>
  <si>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</si>
  <si>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</si>
  <si>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</si>
  <si>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</si>
  <si>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</si>
  <si>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</si>
  <si>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</si>
  <si>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</si>
  <si>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</si>
  <si>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</si>
  <si>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</si>
  <si>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</si>
  <si>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</si>
  <si>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</si>
  <si>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</si>
  <si>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</si>
  <si>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</si>
  <si>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</si>
  <si>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</si>
  <si>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</si>
  <si>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</si>
  <si>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</si>
  <si>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</si>
  <si>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</si>
  <si>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</si>
  <si>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</si>
  <si>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</si>
  <si>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</si>
  <si>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</si>
  <si>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</si>
  <si>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</si>
  <si>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</si>
  <si>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</si>
  <si>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</si>
  <si>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</si>
  <si>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</si>
  <si>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</si>
  <si>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</si>
  <si>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</si>
  <si>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</si>
  <si>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</si>
  <si>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</si>
  <si>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</si>
  <si>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</si>
  <si>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</si>
  <si>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</si>
  <si>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</si>
  <si>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</si>
  <si>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</si>
  <si>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</si>
  <si>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</si>
  <si>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</si>
  <si>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</si>
  <si>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</si>
  <si>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</si>
  <si>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</si>
  <si>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</si>
  <si>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</si>
  <si>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</si>
  <si>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</si>
  <si>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</si>
  <si>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</si>
  <si>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</si>
  <si>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</si>
  <si>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</si>
  <si>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</si>
  <si>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</si>
  <si>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</si>
  <si>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</si>
  <si>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</si>
  <si>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</si>
  <si>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</si>
  <si>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</si>
  <si>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</si>
  <si>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</si>
  <si>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</si>
  <si>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</si>
  <si>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</si>
  <si>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</si>
  <si>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</si>
  <si>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</si>
  <si>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</si>
  <si>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</si>
  <si>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</si>
  <si>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</si>
  <si>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</si>
  <si>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</si>
  <si>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</si>
  <si>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</si>
  <si>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</si>
  <si>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</si>
  <si>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</si>
  <si>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</si>
  <si>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</si>
  <si>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</si>
  <si>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</si>
  <si>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</si>
  <si>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</si>
  <si>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</si>
  <si>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</si>
  <si>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</si>
  <si>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</si>
  <si>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</si>
  <si>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</si>
  <si>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</si>
  <si>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</si>
  <si>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</si>
  <si>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</si>
  <si>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</si>
  <si>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</si>
  <si>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</si>
  <si>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</si>
  <si>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</si>
  <si>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</si>
  <si>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</si>
  <si>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</si>
  <si>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</si>
  <si>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</si>
  <si>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</si>
  <si>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</si>
  <si>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</si>
  <si>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</si>
  <si>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</si>
  <si>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</si>
  <si>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</si>
  <si>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</si>
  <si>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</si>
  <si>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</si>
  <si>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</si>
  <si>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</si>
  <si>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</si>
  <si>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</si>
  <si>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</si>
  <si>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</si>
  <si>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</si>
  <si>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</si>
  <si>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</si>
  <si>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</si>
  <si>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</si>
  <si>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</si>
  <si>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</si>
  <si>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</si>
  <si>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</si>
  <si>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</si>
  <si>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</si>
  <si>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</si>
  <si>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</si>
  <si>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</si>
  <si>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</si>
  <si>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</si>
  <si>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</si>
  <si>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</si>
  <si>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</si>
  <si>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</si>
  <si>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</si>
  <si>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</si>
  <si>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</si>
  <si>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</si>
  <si>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</si>
  <si>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</si>
  <si>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</si>
  <si>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</si>
  <si>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</si>
  <si>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</si>
  <si>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</si>
  <si>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</si>
  <si>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</si>
  <si>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</si>
  <si>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</si>
  <si>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</si>
  <si>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</si>
  <si>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</si>
  <si>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</si>
  <si>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</si>
  <si>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</si>
  <si>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</si>
  <si>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</si>
  <si>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</si>
  <si>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</si>
  <si>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</si>
  <si>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</si>
  <si>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</si>
  <si>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</si>
  <si>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</si>
  <si>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</si>
  <si>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</si>
  <si>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</si>
  <si>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</si>
  <si>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</si>
  <si>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</si>
  <si>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</si>
  <si>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</si>
  <si>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</si>
  <si>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</si>
  <si>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</si>
  <si>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</si>
  <si>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</si>
  <si>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</si>
  <si>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</si>
  <si>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</si>
  <si>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</si>
  <si>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</si>
  <si>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</si>
  <si>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</si>
  <si>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</si>
  <si>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</si>
  <si>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</si>
  <si>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</si>
  <si>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</si>
  <si>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</si>
  <si>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</si>
  <si>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</si>
  <si>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</si>
  <si>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</si>
  <si>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</si>
  <si>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</si>
  <si>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</si>
  <si>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</si>
  <si>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</si>
  <si>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</si>
  <si>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</si>
  <si>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</si>
  <si>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</si>
  <si>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</si>
  <si>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</si>
  <si>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</si>
  <si>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</si>
  <si>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</si>
  <si>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</si>
  <si>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</si>
  <si>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</si>
  <si>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</si>
  <si>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</si>
  <si>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</si>
  <si>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</si>
  <si>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</si>
  <si>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</si>
  <si>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</si>
  <si>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</si>
  <si>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</si>
  <si>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</si>
  <si>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</si>
  <si>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</si>
  <si>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</si>
  <si>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</si>
  <si>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</si>
  <si>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</si>
  <si>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</si>
  <si>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</si>
  <si>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</si>
  <si>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</si>
  <si>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</si>
  <si>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</si>
  <si>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</si>
  <si>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</si>
  <si>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</si>
  <si>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</si>
  <si>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</si>
  <si>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</si>
  <si>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</si>
  <si>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</si>
  <si>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</si>
  <si>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</si>
  <si>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</si>
  <si>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</si>
  <si>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</si>
  <si>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</si>
  <si>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</si>
  <si>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</si>
  <si>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</si>
  <si>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</si>
  <si>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</si>
  <si>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</si>
  <si>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</si>
  <si>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</si>
  <si>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</si>
  <si>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</si>
  <si>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</si>
  <si>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</si>
  <si>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</si>
  <si>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</si>
  <si>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</si>
  <si>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</si>
  <si>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</si>
  <si>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</si>
  <si>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</si>
  <si>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</si>
  <si>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</si>
  <si>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</si>
  <si>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</si>
  <si>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</si>
  <si>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</si>
  <si>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</si>
  <si>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</si>
  <si>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</si>
  <si>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</si>
  <si>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</si>
  <si>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</si>
  <si>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</si>
  <si>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</si>
  <si>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</si>
  <si>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</si>
  <si>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</si>
  <si>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</si>
  <si>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</si>
  <si>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</si>
  <si>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</si>
  <si>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</si>
  <si>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</si>
  <si>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</si>
  <si>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</si>
  <si>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</si>
  <si>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</si>
  <si>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</si>
  <si>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</si>
  <si>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</si>
  <si>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</si>
  <si>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</si>
  <si>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</si>
  <si>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</si>
  <si>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</si>
  <si>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</si>
  <si>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</si>
  <si>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</si>
  <si>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</si>
  <si>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</si>
  <si>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</si>
  <si>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</si>
  <si>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</si>
  <si>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</si>
  <si>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</si>
  <si>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</si>
  <si>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</si>
  <si>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</si>
  <si>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</si>
  <si>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</si>
  <si>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</si>
  <si>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</si>
  <si>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</si>
  <si>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</si>
  <si>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</si>
  <si>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</si>
  <si>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</si>
  <si>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</si>
  <si>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</si>
  <si>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</si>
  <si>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</si>
  <si>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</si>
  <si>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</si>
  <si>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</si>
  <si>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</si>
  <si>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</si>
  <si>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</si>
  <si>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</si>
  <si>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</si>
  <si>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</si>
  <si>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</si>
  <si>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</si>
  <si>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</si>
  <si>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</si>
  <si>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</si>
  <si>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</si>
  <si>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</si>
  <si>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</si>
  <si>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</si>
  <si>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</si>
  <si>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</si>
  <si>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</si>
  <si>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</si>
  <si>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</si>
  <si>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</si>
  <si>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</si>
  <si>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</si>
  <si>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</si>
  <si>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</si>
  <si>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</si>
  <si>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</si>
  <si>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</si>
  <si>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</si>
  <si>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</si>
  <si>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</si>
  <si>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</si>
  <si>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</si>
  <si>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</si>
  <si>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</si>
  <si>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</si>
  <si>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</si>
  <si>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</si>
  <si>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</si>
  <si>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</si>
  <si>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</si>
  <si>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</si>
  <si>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</si>
  <si>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</si>
  <si>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</si>
  <si>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</si>
  <si>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</si>
  <si>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</si>
  <si>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</si>
  <si>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</si>
  <si>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</si>
  <si>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</si>
  <si>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</si>
  <si>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</si>
  <si>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</si>
  <si>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</si>
  <si>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</si>
  <si>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</si>
  <si>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</si>
  <si>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</si>
  <si>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</si>
  <si>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</si>
  <si>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</si>
  <si>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</si>
  <si>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</si>
  <si>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</si>
  <si>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</si>
  <si>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</si>
  <si>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</si>
  <si>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</si>
  <si>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</si>
  <si>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</si>
  <si>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</si>
  <si>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</si>
  <si>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</si>
  <si>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</si>
  <si>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</si>
  <si>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</si>
  <si>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</si>
  <si>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</si>
  <si>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</si>
  <si>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</si>
  <si>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</si>
  <si>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</si>
  <si>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</si>
  <si>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</si>
  <si>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</si>
  <si>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</si>
  <si>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</si>
  <si>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</si>
  <si>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</si>
  <si>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</si>
  <si>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</si>
  <si>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</si>
  <si>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</si>
  <si>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</si>
  <si>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</si>
  <si>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</si>
  <si>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</si>
  <si>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</si>
  <si>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</si>
  <si>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</si>
  <si>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</si>
  <si>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</si>
  <si>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</si>
  <si>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</si>
  <si>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</si>
  <si>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</si>
  <si>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</si>
  <si>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</si>
  <si>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</si>
  <si>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</si>
  <si>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</si>
  <si>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</si>
  <si>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</si>
  <si>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</si>
  <si>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</si>
  <si>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</si>
  <si>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</si>
  <si>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</si>
  <si>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</si>
  <si>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</si>
  <si>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</si>
  <si>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</si>
  <si>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</si>
  <si>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</si>
  <si>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</si>
  <si>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</si>
  <si>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</si>
  <si>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</si>
  <si>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</si>
  <si>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</si>
  <si>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</si>
  <si>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</si>
  <si>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</si>
  <si>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</si>
  <si>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</si>
  <si>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</si>
  <si>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</si>
  <si>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</si>
  <si>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</si>
  <si>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</si>
  <si>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</si>
  <si>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</si>
  <si>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</si>
  <si>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</si>
  <si>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</si>
  <si>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</si>
  <si>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</si>
  <si>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</si>
  <si>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</si>
  <si>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</si>
  <si>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</si>
  <si>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</si>
  <si>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</si>
  <si>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</si>
  <si>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</si>
  <si>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</si>
  <si>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</si>
  <si>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</si>
  <si>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</si>
  <si>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</si>
  <si>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</si>
  <si>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</si>
  <si>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</si>
  <si>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</si>
  <si>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</si>
  <si>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</si>
  <si>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</si>
  <si>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</si>
  <si>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</si>
  <si>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</si>
  <si>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</si>
  <si>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</si>
  <si>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</si>
  <si>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</si>
  <si>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</si>
  <si>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</si>
  <si>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</si>
  <si>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</si>
  <si>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</si>
  <si>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</si>
  <si>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</si>
  <si>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</si>
  <si>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</si>
  <si>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</si>
  <si>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</si>
  <si>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</si>
  <si>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</si>
  <si>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</si>
  <si>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</si>
  <si>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</si>
  <si>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</si>
  <si>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</si>
  <si>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</si>
  <si>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</si>
  <si>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</si>
  <si>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</si>
  <si>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</si>
  <si>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</si>
  <si>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</si>
  <si>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</si>
  <si>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</si>
  <si>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</si>
  <si>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</si>
  <si>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</si>
  <si>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</si>
  <si>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</si>
  <si>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</si>
  <si>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</si>
  <si>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</si>
  <si>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</si>
  <si>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</si>
  <si>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</si>
  <si>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</si>
  <si>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</si>
  <si>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</si>
  <si>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</si>
  <si>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</si>
  <si>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</si>
  <si>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</si>
  <si>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</si>
  <si>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</si>
  <si>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</si>
  <si>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</si>
  <si>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</si>
  <si>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</si>
  <si>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</si>
  <si>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</si>
  <si>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</si>
  <si>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</si>
  <si>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</si>
  <si>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</si>
  <si>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</si>
  <si>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</si>
  <si>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</si>
  <si>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</si>
  <si>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</si>
  <si>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</si>
  <si>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</si>
  <si>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</si>
  <si>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</si>
  <si>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</si>
  <si>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</si>
  <si>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</si>
  <si>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</si>
  <si>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</si>
  <si>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</si>
  <si>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</si>
  <si>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</si>
  <si>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</si>
  <si>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</si>
  <si>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</si>
  <si>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</si>
  <si>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</si>
  <si>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</si>
  <si>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</si>
  <si>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</si>
  <si>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</si>
  <si>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</si>
  <si>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</si>
  <si>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</si>
  <si>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</si>
  <si>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</si>
  <si>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</si>
  <si>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</si>
  <si>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</si>
  <si>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</si>
  <si>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</si>
  <si>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</si>
  <si>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</si>
  <si>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</si>
  <si>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</si>
  <si>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</si>
  <si>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</si>
  <si>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</si>
  <si>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</si>
  <si>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</si>
  <si>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</si>
  <si>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</si>
  <si>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</si>
  <si>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</si>
  <si>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</si>
  <si>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</si>
  <si>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</si>
  <si>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</si>
  <si>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</si>
  <si>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</si>
  <si>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</si>
  <si>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</si>
  <si>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</si>
  <si>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</si>
  <si>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</si>
  <si>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</si>
  <si>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</si>
  <si>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</si>
  <si>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</si>
  <si>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</si>
  <si>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</si>
  <si>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</si>
  <si>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</si>
  <si>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</si>
  <si>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</si>
  <si>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</si>
  <si>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</si>
  <si>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</si>
  <si>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</si>
  <si>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</si>
  <si>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</si>
  <si>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</si>
  <si>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</si>
  <si>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</si>
  <si>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</si>
  <si>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</si>
  <si>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</si>
  <si>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</si>
  <si>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</si>
  <si>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</si>
  <si>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</si>
  <si>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</si>
  <si>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</si>
  <si>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</si>
  <si>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</si>
  <si>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</si>
  <si>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</si>
  <si>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</si>
  <si>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</si>
  <si>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</si>
  <si>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</si>
  <si>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</si>
  <si>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</si>
  <si>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</si>
  <si>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</si>
  <si>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</si>
  <si>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</si>
  <si>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</si>
  <si>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</si>
  <si>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</si>
  <si>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</si>
  <si>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</si>
  <si>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</si>
  <si>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</si>
  <si>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</si>
  <si>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</si>
  <si>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</si>
  <si>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</si>
  <si>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</si>
  <si>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</si>
  <si>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</si>
  <si>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</si>
  <si>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</si>
  <si>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</si>
  <si>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</si>
  <si>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</si>
  <si>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</si>
  <si>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</si>
  <si>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</si>
  <si>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</si>
  <si>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</si>
  <si>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</si>
  <si>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</si>
  <si>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</si>
  <si>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</si>
  <si>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</si>
  <si>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</si>
  <si>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</si>
  <si>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</si>
  <si>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</si>
  <si>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</si>
  <si>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</si>
  <si>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</si>
  <si>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</si>
  <si>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</si>
  <si>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</si>
  <si>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</si>
  <si>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</si>
  <si>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</si>
  <si>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</si>
  <si>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</si>
  <si>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</si>
  <si>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</si>
  <si>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</si>
  <si>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</si>
  <si>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</si>
  <si>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</si>
  <si>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</si>
  <si>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</si>
  <si>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</si>
  <si>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</si>
  <si>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</si>
  <si>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</si>
  <si>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</si>
  <si>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</si>
  <si>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</si>
  <si>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</si>
  <si>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</si>
  <si>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</si>
  <si>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</si>
  <si>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</si>
  <si>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</si>
  <si>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</si>
  <si>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</si>
  <si>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</si>
  <si>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</si>
  <si>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</si>
  <si>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</si>
  <si>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</si>
  <si>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</si>
  <si>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</si>
  <si>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</si>
  <si>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</si>
  <si>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</si>
  <si>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</si>
  <si>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</si>
  <si>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</si>
  <si>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</si>
  <si>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</si>
  <si>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</si>
  <si>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</si>
  <si>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</si>
  <si>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</si>
  <si>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</si>
  <si>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</si>
  <si>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</si>
  <si>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</si>
  <si>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</si>
  <si>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</si>
  <si>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</si>
  <si>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</si>
  <si>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</si>
  <si>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</si>
  <si>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</si>
  <si>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</si>
  <si>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</si>
  <si>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</si>
  <si>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</si>
  <si>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</si>
  <si>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</si>
  <si>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</si>
  <si>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</si>
  <si>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</si>
  <si>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</si>
  <si>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</si>
  <si>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</si>
  <si>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</si>
  <si>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</si>
  <si>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</si>
  <si>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</si>
  <si>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</si>
  <si>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</si>
  <si>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</si>
  <si>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</si>
  <si>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</si>
  <si>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</si>
  <si>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</si>
  <si>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</si>
  <si>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</si>
  <si>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</si>
  <si>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</si>
  <si>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</si>
  <si>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</si>
  <si>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</si>
  <si>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</si>
  <si>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</si>
  <si>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</si>
  <si>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</si>
  <si>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</si>
  <si>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</si>
  <si>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</si>
  <si>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</si>
  <si>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</si>
  <si>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</si>
  <si>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</si>
  <si>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</si>
  <si>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</si>
  <si>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</si>
  <si>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</si>
  <si>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</si>
  <si>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</si>
  <si>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</si>
  <si>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</si>
  <si>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</si>
  <si>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</si>
  <si>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</si>
  <si>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</si>
  <si>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</si>
  <si>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</si>
  <si>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</si>
  <si>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</si>
  <si>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</si>
  <si>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</si>
  <si>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</si>
  <si>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</si>
  <si>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</si>
  <si>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</si>
  <si>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</si>
  <si>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</si>
  <si>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</si>
  <si>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</si>
  <si>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</si>
  <si>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</si>
  <si>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</si>
  <si>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</si>
  <si>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</si>
  <si>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</si>
  <si>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</si>
  <si>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</si>
  <si>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</si>
  <si>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</si>
  <si>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</si>
  <si>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</si>
  <si>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</si>
  <si>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</si>
  <si>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</si>
  <si>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</si>
  <si>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</si>
  <si>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</si>
  <si>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</si>
  <si>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</si>
  <si>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</si>
  <si>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</si>
  <si>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</si>
  <si>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</si>
  <si>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</si>
  <si>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</si>
  <si>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</si>
  <si>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</si>
  <si>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</si>
  <si>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</si>
  <si>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</si>
  <si>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</si>
  <si>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</si>
  <si>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</si>
  <si>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</si>
  <si>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</si>
  <si>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</si>
  <si>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</si>
  <si>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</si>
  <si>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</si>
  <si>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</si>
  <si>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</si>
  <si>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</si>
  <si>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</si>
  <si>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</si>
  <si>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</si>
  <si>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</si>
  <si>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</si>
  <si>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</si>
  <si>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</si>
  <si>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</si>
  <si>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</si>
  <si>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</si>
  <si>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</si>
  <si>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</si>
  <si>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</si>
  <si>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</si>
  <si>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</si>
  <si>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</si>
  <si>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</si>
  <si>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</si>
  <si>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</si>
  <si>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</si>
  <si>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</si>
  <si>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</si>
  <si>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</si>
  <si>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</si>
  <si>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</si>
  <si>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</si>
  <si>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</si>
  <si>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</si>
  <si>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</si>
  <si>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</si>
  <si>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</si>
  <si>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</si>
  <si>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</si>
  <si>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</si>
  <si>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</si>
  <si>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</si>
  <si>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</si>
  <si>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</si>
  <si>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</si>
  <si>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</si>
  <si>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</si>
  <si>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</si>
  <si>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</si>
  <si>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</si>
  <si>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</si>
  <si>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</si>
  <si>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</si>
  <si>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</si>
  <si>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</si>
  <si>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</si>
  <si>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</si>
  <si>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</si>
  <si>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</si>
  <si>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</si>
  <si>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</si>
  <si>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</si>
  <si>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</si>
  <si>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</si>
  <si>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</si>
  <si>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</si>
  <si>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</si>
  <si>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</si>
  <si>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</si>
  <si>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</si>
  <si>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</si>
  <si>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</si>
  <si>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</si>
  <si>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</si>
  <si>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</si>
  <si>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</si>
  <si>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</si>
  <si>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</si>
  <si>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</si>
  <si>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</si>
  <si>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</si>
  <si>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</si>
  <si>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</si>
  <si>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</si>
  <si>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</si>
  <si>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</si>
  <si>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</si>
  <si>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</si>
  <si>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</si>
  <si>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</si>
  <si>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</si>
  <si>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</si>
  <si>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</si>
  <si>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</si>
  <si>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</si>
  <si>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</si>
  <si>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</si>
  <si>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</si>
  <si>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</si>
  <si>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</si>
  <si>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</si>
  <si>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</si>
  <si>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</si>
  <si>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</si>
  <si>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</si>
  <si>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</si>
  <si>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</si>
  <si>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</si>
  <si>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</si>
  <si>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</si>
  <si>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</si>
  <si>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</si>
  <si>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</si>
  <si>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</si>
  <si>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</si>
  <si>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</si>
  <si>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</si>
  <si>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</si>
  <si>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</si>
  <si>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</si>
  <si>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</si>
  <si>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</si>
  <si>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</si>
  <si>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</si>
  <si>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</si>
  <si>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</si>
  <si>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</si>
  <si>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</si>
  <si>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</si>
  <si>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</si>
  <si>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</si>
  <si>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</si>
  <si>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</si>
  <si>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</si>
  <si>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</si>
  <si>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</si>
  <si>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</si>
  <si>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</si>
  <si>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</si>
  <si>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</si>
  <si>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</si>
  <si>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</si>
  <si>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</si>
  <si>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</si>
  <si>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</si>
  <si>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</si>
  <si>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</si>
  <si>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</si>
  <si>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</si>
  <si>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</si>
  <si>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</si>
  <si>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</si>
  <si>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</si>
  <si>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</si>
  <si>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</si>
  <si>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</si>
  <si>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</si>
  <si>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</si>
  <si>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</si>
  <si>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</si>
  <si>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</si>
  <si>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</si>
  <si>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</si>
  <si>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</si>
  <si>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</si>
  <si>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</si>
  <si>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</si>
  <si>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</si>
  <si>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</si>
  <si>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</si>
  <si>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</si>
  <si>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</si>
  <si>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</si>
  <si>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</si>
  <si>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</si>
  <si>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</si>
  <si>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</si>
  <si>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</si>
  <si>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</si>
  <si>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</si>
  <si>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</si>
  <si>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</si>
  <si>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</si>
  <si>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</si>
  <si>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</si>
  <si>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</si>
  <si>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</si>
  <si>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</si>
  <si>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</si>
  <si>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</si>
  <si>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</si>
  <si>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</si>
  <si>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</si>
  <si>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</si>
  <si>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</si>
  <si>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</si>
  <si>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</si>
  <si>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</si>
  <si>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</si>
  <si>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</si>
  <si>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</si>
  <si>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</si>
  <si>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</si>
  <si>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</si>
  <si>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</si>
  <si>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</si>
  <si>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</si>
  <si>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</si>
  <si>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</si>
  <si>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</si>
  <si>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</si>
  <si>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</si>
  <si>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</si>
  <si>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</si>
  <si>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</si>
  <si>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</si>
  <si>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</si>
  <si>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</si>
  <si>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</si>
  <si>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</si>
  <si>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</si>
  <si>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</si>
  <si>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</si>
  <si>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</si>
  <si>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</si>
  <si>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</si>
  <si>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</si>
  <si>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</si>
  <si>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</si>
  <si>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</si>
  <si>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</si>
  <si>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</si>
  <si>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</si>
  <si>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</si>
  <si>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</si>
  <si>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</si>
  <si>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</si>
  <si>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</si>
  <si>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</si>
  <si>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</si>
  <si>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</si>
  <si>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</si>
  <si>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</si>
  <si>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</si>
  <si>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</si>
  <si>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</si>
  <si>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</si>
  <si>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</si>
  <si>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</si>
  <si>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</si>
  <si>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</si>
  <si>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</si>
  <si>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</si>
  <si>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</si>
  <si>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</si>
  <si>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</si>
  <si>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</si>
  <si>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</si>
  <si>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</si>
  <si>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</si>
  <si>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</si>
  <si>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</si>
  <si>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</si>
  <si>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</si>
  <si>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</si>
  <si>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</si>
  <si>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</si>
  <si>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</si>
  <si>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</si>
  <si>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</si>
  <si>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</si>
  <si>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</si>
  <si>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</si>
  <si>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</si>
  <si>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</si>
  <si>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</si>
  <si>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</si>
  <si>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</si>
  <si>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</si>
  <si>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</si>
  <si>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</si>
  <si>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</si>
  <si>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</si>
  <si>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</si>
  <si>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</si>
  <si>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</si>
  <si>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</si>
  <si>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</si>
  <si>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</si>
  <si>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</si>
  <si>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</si>
  <si>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</si>
  <si>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</si>
  <si>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</si>
  <si>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</si>
  <si>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</si>
  <si>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</si>
  <si>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</si>
  <si>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</si>
  <si>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</si>
  <si>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</si>
  <si>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</si>
  <si>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</si>
  <si>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</si>
  <si>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</si>
  <si>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</si>
  <si>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</si>
  <si>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</si>
  <si>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</si>
  <si>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</si>
  <si>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</si>
  <si>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</si>
  <si>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</si>
  <si>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</si>
  <si>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</si>
  <si>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</si>
  <si>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</si>
  <si>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</si>
  <si>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</si>
  <si>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</si>
  <si>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</si>
  <si>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</si>
  <si>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</si>
  <si>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</si>
  <si>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</si>
  <si>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</si>
  <si>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</si>
  <si>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</si>
  <si>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</si>
  <si>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</si>
  <si>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</si>
  <si>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</si>
  <si>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</si>
  <si>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</si>
  <si>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</si>
  <si>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</si>
  <si>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</si>
  <si>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</si>
  <si>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</si>
  <si>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</si>
  <si>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</si>
  <si>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</si>
  <si>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</si>
  <si>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</si>
  <si>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</si>
  <si>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</si>
  <si>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</si>
  <si>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</si>
  <si>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</si>
  <si>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</si>
  <si>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</si>
  <si>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</si>
  <si>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</si>
  <si>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</si>
  <si>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</si>
  <si>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</si>
  <si>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</si>
  <si>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</si>
  <si>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</si>
  <si>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</si>
  <si>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</si>
  <si>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</si>
  <si>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</si>
  <si>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</si>
  <si>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</si>
  <si>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</si>
  <si>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</si>
  <si>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</si>
  <si>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</si>
  <si>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</si>
  <si>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</si>
  <si>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</si>
  <si>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</si>
  <si>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</si>
  <si>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</si>
  <si>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</si>
  <si>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</si>
  <si>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</si>
  <si>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</si>
  <si>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</si>
  <si>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</si>
  <si>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</si>
  <si>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</si>
  <si>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</si>
  <si>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</si>
  <si>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</si>
  <si>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</si>
  <si>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</si>
  <si>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</si>
  <si>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</si>
  <si>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</si>
  <si>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</si>
  <si>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</si>
  <si>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</si>
  <si>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</si>
  <si>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</si>
  <si>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</si>
  <si>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</si>
  <si>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</si>
  <si>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</si>
  <si>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</si>
  <si>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</si>
  <si>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</si>
  <si>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</si>
  <si>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</si>
  <si>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</si>
  <si>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</si>
  <si>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</si>
  <si>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</si>
  <si>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</si>
  <si>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</si>
  <si>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</si>
  <si>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</si>
  <si>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</si>
  <si>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</si>
  <si>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</si>
  <si>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</si>
  <si>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</si>
  <si>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</si>
  <si>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</si>
  <si>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</si>
  <si>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</si>
  <si>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</si>
  <si>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</si>
  <si>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</si>
  <si>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</si>
  <si>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</si>
  <si>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</si>
  <si>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</si>
  <si>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</si>
  <si>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</si>
  <si>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</si>
  <si>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</si>
  <si>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</si>
  <si>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</si>
  <si>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</si>
  <si>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</si>
  <si>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</si>
  <si>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</si>
  <si>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</si>
  <si>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</si>
  <si>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</si>
  <si>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</si>
  <si>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</si>
  <si>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</si>
  <si>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</si>
  <si>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</si>
  <si>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</si>
  <si>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</si>
  <si>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</si>
  <si>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</si>
  <si>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</si>
  <si>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</si>
  <si>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</si>
  <si>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</si>
  <si>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</si>
  <si>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</si>
  <si>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</si>
  <si>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</si>
  <si>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</si>
  <si>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</si>
  <si>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</si>
  <si>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</si>
  <si>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</si>
  <si>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</si>
  <si>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</si>
  <si>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</si>
  <si>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</si>
  <si>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</si>
  <si>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</si>
  <si>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</si>
  <si>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</si>
  <si>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</si>
  <si>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</si>
  <si>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</si>
  <si>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</si>
  <si>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</si>
  <si>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</si>
  <si>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</si>
  <si>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</si>
  <si>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</si>
  <si>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</si>
  <si>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</si>
  <si>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</si>
  <si>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</si>
  <si>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</si>
  <si>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</si>
  <si>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</si>
  <si>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</si>
  <si>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</si>
  <si>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</si>
  <si>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</si>
  <si>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</si>
  <si>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</si>
  <si>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</si>
  <si>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</si>
  <si>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</si>
  <si>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</si>
  <si>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</si>
  <si>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</si>
  <si>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</si>
  <si>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</si>
  <si>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</si>
  <si>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</si>
  <si>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</si>
  <si>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</si>
  <si>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</si>
  <si>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</si>
  <si>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</si>
  <si>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</si>
  <si>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</si>
  <si>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</si>
  <si>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</si>
  <si>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</si>
  <si>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</si>
  <si>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</si>
  <si>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</si>
  <si>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</si>
  <si>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</si>
  <si>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</si>
  <si>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</si>
  <si>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</si>
  <si>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</si>
  <si>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</si>
  <si>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</si>
  <si>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</si>
  <si>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</si>
  <si>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</si>
  <si>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</si>
  <si>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</si>
  <si>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</si>
  <si>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</si>
  <si>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</si>
  <si>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</si>
  <si>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</si>
  <si>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</si>
  <si>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</si>
  <si>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</si>
  <si>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</si>
  <si>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</si>
  <si>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</si>
  <si>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</si>
  <si>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</si>
  <si>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</si>
  <si>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</si>
  <si>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</si>
  <si>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</si>
  <si>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</si>
  <si>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</si>
  <si>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</si>
  <si>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</si>
  <si>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</si>
  <si>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</si>
  <si>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</si>
  <si>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</si>
  <si>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</si>
  <si>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</si>
  <si>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</si>
  <si>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</si>
  <si>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</si>
  <si>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</si>
  <si>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</si>
  <si>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</si>
  <si>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</si>
  <si>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</si>
  <si>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</si>
  <si>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</si>
  <si>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</si>
  <si>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</si>
  <si>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</si>
  <si>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</si>
  <si>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</si>
  <si>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</si>
  <si>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</si>
  <si>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</si>
  <si>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</si>
  <si>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</si>
  <si>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</si>
  <si>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</si>
  <si>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</si>
  <si>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</si>
  <si>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</si>
  <si>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</si>
  <si>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</si>
  <si>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</si>
  <si>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</si>
  <si>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</si>
  <si>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</si>
  <si>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</si>
  <si>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</si>
  <si>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</si>
  <si>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</si>
  <si>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</si>
  <si>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</si>
  <si>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</si>
  <si>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</si>
  <si>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</si>
  <si>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</si>
  <si>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</si>
  <si>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</si>
  <si>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</si>
  <si>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</si>
  <si>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</si>
  <si>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</si>
  <si>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</si>
  <si>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</si>
  <si>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</si>
  <si>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</si>
  <si>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</si>
  <si>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</si>
  <si>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</si>
  <si>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</si>
  <si>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</si>
  <si>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</si>
  <si>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</si>
  <si>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</si>
  <si>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</si>
  <si>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</si>
  <si>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</si>
  <si>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</si>
  <si>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</si>
  <si>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</si>
  <si>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</si>
  <si>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</si>
  <si>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</si>
  <si>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</si>
  <si>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</si>
  <si>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</si>
  <si>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</si>
  <si>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</si>
  <si>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</si>
  <si>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</si>
  <si>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</si>
  <si>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</si>
  <si>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</si>
  <si>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</si>
  <si>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</si>
  <si>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</si>
  <si>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</si>
  <si>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</si>
  <si>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</si>
  <si>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</si>
  <si>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</si>
  <si>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</si>
  <si>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</si>
  <si>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</si>
  <si>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</si>
  <si>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</si>
  <si>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</si>
  <si>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</si>
  <si>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</si>
  <si>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</si>
  <si>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</si>
  <si>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</si>
  <si>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</si>
  <si>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</si>
  <si>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</si>
  <si>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</si>
  <si>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</si>
  <si>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</si>
  <si>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</si>
  <si>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</si>
  <si>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</si>
  <si>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</si>
  <si>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</si>
  <si>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</si>
  <si>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</si>
  <si>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</si>
  <si>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</si>
  <si>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</si>
  <si>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</si>
  <si>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</si>
  <si>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</si>
  <si>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</si>
  <si>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</si>
  <si>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</si>
  <si>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</si>
  <si>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</si>
  <si>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</si>
  <si>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</si>
  <si>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</si>
  <si>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</si>
  <si>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</si>
  <si>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</si>
  <si>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</si>
  <si>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</si>
  <si>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</si>
  <si>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</si>
  <si>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</si>
  <si>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</si>
  <si>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</si>
  <si>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</si>
  <si>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</si>
  <si>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</si>
  <si>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</si>
  <si>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</si>
  <si>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</si>
  <si>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</si>
  <si>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</si>
  <si>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</si>
  <si>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</si>
  <si>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</si>
  <si>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</si>
  <si>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</si>
  <si>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</si>
  <si>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</si>
  <si>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</si>
  <si>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</si>
  <si>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</si>
  <si>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</si>
  <si>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</si>
  <si>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</si>
  <si>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</si>
  <si>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</si>
  <si>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</si>
  <si>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</si>
  <si>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</si>
  <si>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</si>
  <si>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</si>
  <si>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</si>
  <si>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</si>
  <si>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</si>
  <si>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</si>
  <si>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</si>
  <si>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</si>
  <si>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</si>
  <si>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</si>
  <si>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</si>
  <si>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</si>
  <si>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</si>
  <si>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</si>
  <si>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</si>
  <si>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</si>
  <si>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</si>
  <si>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</si>
  <si>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</si>
  <si>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</si>
  <si>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</si>
  <si>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</si>
  <si>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</si>
  <si>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</si>
  <si>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</si>
  <si>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</si>
  <si>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</si>
  <si>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</si>
  <si>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</si>
  <si>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</si>
  <si>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</si>
  <si>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</si>
  <si>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</si>
  <si>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</si>
  <si>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</si>
  <si>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</si>
  <si>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</si>
  <si>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</si>
  <si>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</si>
  <si>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</si>
  <si>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</si>
  <si>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</si>
  <si>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</si>
  <si>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</si>
  <si>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</si>
  <si>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</si>
  <si>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</si>
  <si>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</si>
  <si>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</si>
  <si>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</si>
  <si>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</si>
  <si>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</si>
  <si>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</si>
  <si>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</si>
  <si>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</si>
  <si>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</si>
  <si>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</si>
  <si>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</si>
  <si>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</si>
  <si>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</si>
  <si>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</si>
  <si>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</si>
  <si>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</si>
  <si>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</si>
  <si>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</si>
  <si>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</si>
  <si>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</si>
  <si>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</si>
  <si>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</si>
  <si>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</si>
  <si>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NOCOUPONCODE</t>
  </si>
  <si>
    <t>Metric</t>
  </si>
  <si>
    <t>Mean</t>
  </si>
  <si>
    <t>Median</t>
  </si>
  <si>
    <t>Count</t>
  </si>
  <si>
    <t>Min</t>
  </si>
  <si>
    <t>Max</t>
  </si>
  <si>
    <t>Row Labels</t>
  </si>
  <si>
    <t>Grand Total</t>
  </si>
  <si>
    <t>Sum of TotalPrice</t>
  </si>
  <si>
    <t>Count of Quantity</t>
  </si>
  <si>
    <t>Q1</t>
  </si>
  <si>
    <t>Q3</t>
  </si>
  <si>
    <t>IQR</t>
  </si>
  <si>
    <t>Lower Bound</t>
  </si>
  <si>
    <t>Upper Bound</t>
  </si>
  <si>
    <t>KEY OBSERVATIONS</t>
  </si>
  <si>
    <t>OUTLIERS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</si>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</sst>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yyyy\-mm\-dd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2" borderId="5" xfId="0" applyFill="1" applyBorder="1"/>
    <xf numFmtId="0" fontId="0" fillId="2" borderId="2" xfId="0" applyFill="1" applyBorder="1"/>
    <xf numFmtId="43" fontId="0" fillId="0" borderId="0" xfId="2" applyFont="1"/>
    <xf numFmtId="0" fontId="0" fillId="0" borderId="0" xfId="1" applyNumberFormat="1" applyFont="1"/>
    <xf numFmtId="0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43" fontId="0" fillId="0" borderId="0" xfId="2" applyFont="1" applyAlignment="1">
      <alignment wrapText="1"/>
    </xf>
    <xf numFmtId="0" fontId="1" fillId="0" borderId="0" xfId="1" applyNumberFormat="1" applyFont="1"/>
    <xf numFmtId="0" fontId="0" fillId="0" borderId="0" xfId="1" applyNumberFormat="1" applyFont="1" applyAlignment="1"/>
    <xf numFmtId="165" fontId="0" fillId="0" borderId="0" xfId="1" applyNumberFormat="1" applyFont="1" applyAlignment="1"/>
    <xf numFmtId="165" fontId="1" fillId="0" borderId="0" xfId="1" applyNumberFormat="1" applyFont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53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21</xdr:row>
      <xdr:rowOff>175260</xdr:rowOff>
    </xdr:from>
    <xdr:to>
      <xdr:col>3</xdr:col>
      <xdr:colOff>0</xdr:colOff>
      <xdr:row>37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D6007A-E607-0FFC-A93E-7516457C8001}"/>
            </a:ext>
          </a:extLst>
        </xdr:cNvPr>
        <xdr:cNvSpPr txBox="1"/>
      </xdr:nvSpPr>
      <xdr:spPr>
        <a:xfrm>
          <a:off x="15240" y="4015740"/>
          <a:ext cx="4404360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1.Chair and Printer generated the highest revenue at approximately $195,000 each.</a:t>
          </a:r>
        </a:p>
        <a:p>
          <a:r>
            <a:rPr lang="en-US" sz="1100" baseline="0"/>
            <a:t>    </a:t>
          </a:r>
        </a:p>
        <a:p>
          <a:r>
            <a:rPr lang="en-US" sz="1100"/>
            <a:t>2.</a:t>
          </a:r>
          <a:r>
            <a:rPr lang="en-US" sz="1100" baseline="0"/>
            <a:t> </a:t>
          </a:r>
          <a:r>
            <a:rPr lang="en-US" sz="1100"/>
            <a:t>The average order value is $1,053.97 while the median is $823.62 meaning some large orders are pulling the average up.</a:t>
          </a:r>
        </a:p>
        <a:p>
          <a:r>
            <a:rPr lang="en-US" sz="1100"/>
            <a:t>	</a:t>
          </a:r>
        </a:p>
        <a:p>
          <a:r>
            <a:rPr lang="en-US" sz="1100"/>
            <a:t>3.</a:t>
          </a:r>
          <a:r>
            <a:rPr lang="en-US" sz="1100" baseline="0"/>
            <a:t> </a:t>
          </a:r>
          <a:r>
            <a:rPr lang="en-US" sz="1100"/>
            <a:t>Cancelled orders are the highest order status at 250 out of 1,200 orders which is a concern for the business.</a:t>
          </a:r>
        </a:p>
        <a:p>
          <a:r>
            <a:rPr lang="en-US" sz="1100"/>
            <a:t>	</a:t>
          </a:r>
        </a:p>
        <a:p>
          <a:r>
            <a:rPr lang="en-US" sz="1100"/>
            <a:t>4.</a:t>
          </a:r>
          <a:r>
            <a:rPr lang="en-US" sz="1100" baseline="0"/>
            <a:t> </a:t>
          </a:r>
          <a:r>
            <a:rPr lang="en-US" sz="1100"/>
            <a:t>Instagram is the top referral source driving the most customers followed by Email and Google.	</a:t>
          </a:r>
        </a:p>
        <a:p>
          <a:endParaRPr lang="en-US" sz="1100"/>
        </a:p>
        <a:p>
          <a:r>
            <a:rPr lang="en-US" sz="1100"/>
            <a:t>5.</a:t>
          </a:r>
          <a:r>
            <a:rPr lang="en-US" sz="1100" baseline="0"/>
            <a:t> </a:t>
          </a:r>
          <a:r>
            <a:rPr lang="en-US" sz="1100"/>
            <a:t>Orders exceeding $3,330.41 in TotalPrice are identified as outliers meaning some customers are placing unusually large orders.</a:t>
          </a:r>
          <a:endParaRPr lang="en-NG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zmo Berry" refreshedDate="46167.799834143516" createdVersion="8" refreshedVersion="8" minRefreshableVersion="3" recordCount="1200" xr:uid="{C7BB613D-5A12-44F7-B8A7-A3FBE00AFEB3}">
  <cacheSource type="worksheet">
    <worksheetSource name="Table1_1"/>
  </cacheSource>
  <cacheFields count="14">
    <cacheField name="OrderID" numFmtId="0">
      <sharedItems/>
    </cacheField>
    <cacheField name="Date" numFmtId="22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x v="0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x v="1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x v="0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x v="2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x v="3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x v="1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x v="2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x v="0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x v="1"/>
    <n v="134.28"/>
    <s v="904 Main St"/>
    <s v="Gift Card"/>
    <s v="Cancelled"/>
    <s v="TRK61042692"/>
    <n v="2"/>
    <s v="NOCOUPONCODE"/>
    <s v="Email"/>
    <n v="268.56"/>
  </r>
  <r>
    <s v="ORD200009"/>
    <d v="2023-11-21T00:00:00"/>
    <s v="C31946"/>
    <x v="6"/>
    <x v="3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x v="0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x v="4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x v="1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x v="4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x v="1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x v="2"/>
    <n v="473.96"/>
    <s v="942 Main St"/>
    <s v="Cash"/>
    <s v="Delivered"/>
    <s v="TRK54930938"/>
    <n v="3"/>
    <s v="NOCOUPONCODE"/>
    <s v="Google"/>
    <n v="473.96"/>
  </r>
  <r>
    <s v="ORD200016"/>
    <d v="2023-01-24T00:00:00"/>
    <s v="C28976"/>
    <x v="4"/>
    <x v="1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x v="2"/>
    <n v="423.4"/>
    <s v="382 Main St"/>
    <s v="Debit Card"/>
    <s v="Shipped"/>
    <s v="TRK11972116"/>
    <n v="3"/>
    <s v="NOCOUPONCODE"/>
    <s v="Referral"/>
    <n v="423.4"/>
  </r>
  <r>
    <s v="ORD200018"/>
    <d v="2025-03-26T00:00:00"/>
    <s v="C84329"/>
    <x v="6"/>
    <x v="2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x v="0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x v="0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x v="3"/>
    <n v="342.95"/>
    <s v="569 Main St"/>
    <s v="Cash"/>
    <s v="Delivered"/>
    <s v="TRK52646983"/>
    <n v="6"/>
    <s v="NOCOUPONCODE"/>
    <s v="Google"/>
    <n v="1371.8"/>
  </r>
  <r>
    <s v="ORD200022"/>
    <d v="2023-01-29T00:00:00"/>
    <s v="C34416"/>
    <x v="0"/>
    <x v="1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x v="3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x v="1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x v="2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x v="0"/>
    <n v="59.55"/>
    <s v="296 Main St"/>
    <s v="Online"/>
    <s v="Delivered"/>
    <s v="TRK80276812"/>
    <n v="6"/>
    <s v="NOCOUPONCODE"/>
    <s v="Referral"/>
    <n v="297.75"/>
  </r>
  <r>
    <s v="ORD200027"/>
    <d v="2024-02-22T00:00:00"/>
    <s v="C97593"/>
    <x v="4"/>
    <x v="2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x v="3"/>
    <n v="160.07"/>
    <s v="568 Main St"/>
    <s v="Online"/>
    <s v="Pending"/>
    <s v="TRK65895539"/>
    <n v="5"/>
    <s v="NOCOUPONCODE"/>
    <s v="Email"/>
    <n v="640.28"/>
  </r>
  <r>
    <s v="ORD200029"/>
    <d v="2024-09-20T00:00:00"/>
    <s v="C33260"/>
    <x v="6"/>
    <x v="4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x v="1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x v="4"/>
    <n v="500.08"/>
    <s v="996 Main St"/>
    <s v="Debit Card"/>
    <s v="Returned"/>
    <s v="TRK31229981"/>
    <n v="6"/>
    <s v="NOCOUPONCODE"/>
    <s v="Facebook"/>
    <n v="1500.24"/>
  </r>
  <r>
    <s v="ORD200032"/>
    <d v="2023-05-01T00:00:00"/>
    <s v="C12388"/>
    <x v="2"/>
    <x v="0"/>
    <n v="536.72"/>
    <s v="830 Main St"/>
    <s v="Cash"/>
    <s v="Delivered"/>
    <s v="TRK99261395"/>
    <n v="10"/>
    <s v="NOCOUPONCODE"/>
    <s v="Email"/>
    <n v="2683.6"/>
  </r>
  <r>
    <s v="ORD200033"/>
    <d v="2023-06-05T00:00:00"/>
    <s v="C52184"/>
    <x v="3"/>
    <x v="2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x v="3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x v="1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x v="1"/>
    <n v="534.42999999999995"/>
    <s v="465 Main St"/>
    <s v="Debit Card"/>
    <s v="Pending"/>
    <s v="TRK50961250"/>
    <n v="5"/>
    <s v="NOCOUPONCODE"/>
    <s v="Facebook"/>
    <n v="1068.8599999999999"/>
  </r>
  <r>
    <s v="ORD200037"/>
    <d v="2024-10-14T00:00:00"/>
    <s v="C10054"/>
    <x v="5"/>
    <x v="1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x v="2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x v="4"/>
    <n v="256.45999999999998"/>
    <s v="666 Main St"/>
    <s v="Credit Card"/>
    <s v="Delivered"/>
    <s v="TRK85508960"/>
    <n v="4"/>
    <s v="SAVE10"/>
    <s v="Referral"/>
    <n v="769.38"/>
  </r>
  <r>
    <s v="ORD200040"/>
    <d v="2023-08-20T00:00:00"/>
    <s v="C84766"/>
    <x v="6"/>
    <x v="1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x v="4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x v="1"/>
    <n v="151.66"/>
    <s v="980 Main St"/>
    <s v="Cash"/>
    <s v="Cancelled"/>
    <s v="TRK40772558"/>
    <n v="6"/>
    <s v="NOCOUPONCODE"/>
    <s v="Instagram"/>
    <n v="303.32"/>
  </r>
  <r>
    <s v="ORD200043"/>
    <d v="2023-12-14T00:00:00"/>
    <s v="C60572"/>
    <x v="3"/>
    <x v="4"/>
    <n v="499.21"/>
    <s v="871 Main St"/>
    <s v="Online"/>
    <s v="Cancelled"/>
    <s v="TRK20351666"/>
    <n v="8"/>
    <s v="NOCOUPONCODE"/>
    <s v="Instagram"/>
    <n v="1497.63"/>
  </r>
  <r>
    <s v="ORD200044"/>
    <d v="2025-04-21T00:00:00"/>
    <s v="C73225"/>
    <x v="1"/>
    <x v="1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x v="2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x v="3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x v="1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x v="1"/>
    <n v="80.77"/>
    <s v="464 Main St"/>
    <s v="Debit Card"/>
    <s v="Shipped"/>
    <s v="TRK38938858"/>
    <n v="4"/>
    <s v="NOCOUPONCODE"/>
    <s v="Google"/>
    <n v="161.54"/>
  </r>
  <r>
    <s v="ORD200049"/>
    <d v="2023-10-07T00:00:00"/>
    <s v="C11985"/>
    <x v="4"/>
    <x v="2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x v="2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x v="2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x v="2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x v="3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x v="2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x v="4"/>
    <n v="344.4"/>
    <s v="565 Main St"/>
    <s v="Online"/>
    <s v="Cancelled"/>
    <s v="TRK67434829"/>
    <n v="3"/>
    <s v="NOCOUPONCODE"/>
    <s v="Facebook"/>
    <n v="1033.2"/>
  </r>
  <r>
    <s v="ORD200056"/>
    <d v="2023-05-21T00:00:00"/>
    <s v="C54298"/>
    <x v="2"/>
    <x v="4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x v="0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x v="3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x v="3"/>
    <n v="593.27"/>
    <s v="811 Main St"/>
    <s v="Online"/>
    <s v="Shipped"/>
    <s v="TRK47055028"/>
    <n v="5"/>
    <s v="NOCOUPONCODE"/>
    <s v="Facebook"/>
    <n v="2373.08"/>
  </r>
  <r>
    <s v="ORD200060"/>
    <d v="2024-08-21T00:00:00"/>
    <s v="C39256"/>
    <x v="6"/>
    <x v="2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x v="3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x v="1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x v="2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x v="4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x v="0"/>
    <n v="81.7"/>
    <s v="385 Main St"/>
    <s v="Credit Card"/>
    <s v="Delivered"/>
    <s v="TRK13743703"/>
    <n v="6"/>
    <s v="NOCOUPONCODE"/>
    <s v="Instagram"/>
    <n v="408.5"/>
  </r>
  <r>
    <s v="ORD200066"/>
    <d v="2024-11-15T00:00:00"/>
    <s v="C18104"/>
    <x v="3"/>
    <x v="0"/>
    <n v="127.18"/>
    <s v="715 Main St"/>
    <s v="Cash"/>
    <s v="Cancelled"/>
    <s v="TRK15488568"/>
    <n v="9"/>
    <s v="SAVE10"/>
    <s v="Referral"/>
    <n v="635.9"/>
  </r>
  <r>
    <s v="ORD200067"/>
    <d v="2024-12-09T00:00:00"/>
    <s v="C25587"/>
    <x v="4"/>
    <x v="3"/>
    <n v="12.1"/>
    <s v="440 Main St"/>
    <s v="Debit Card"/>
    <s v="Cancelled"/>
    <s v="TRK55105323"/>
    <n v="8"/>
    <s v="NOCOUPONCODE"/>
    <s v="Google"/>
    <n v="48.4"/>
  </r>
  <r>
    <s v="ORD200068"/>
    <d v="2023-12-11T00:00:00"/>
    <s v="C41598"/>
    <x v="3"/>
    <x v="4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x v="4"/>
    <n v="478.65"/>
    <s v="552 Main St"/>
    <s v="Online"/>
    <s v="Shipped"/>
    <s v="TRK35241775"/>
    <n v="4"/>
    <s v="NOCOUPONCODE"/>
    <s v="Referral"/>
    <n v="1435.95"/>
  </r>
  <r>
    <s v="ORD200070"/>
    <d v="2023-05-26T00:00:00"/>
    <s v="C25123"/>
    <x v="6"/>
    <x v="2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x v="4"/>
    <n v="434.45"/>
    <s v="923 Main St"/>
    <s v="Credit Card"/>
    <s v="Pending"/>
    <s v="TRK28252730"/>
    <n v="4"/>
    <s v="NOCOUPONCODE"/>
    <s v="Referral"/>
    <n v="1303.3499999999999"/>
  </r>
  <r>
    <s v="ORD200072"/>
    <d v="2024-12-22T00:00:00"/>
    <s v="C19451"/>
    <x v="2"/>
    <x v="3"/>
    <n v="589.44000000000005"/>
    <s v="942 Main St"/>
    <s v="Gift Card"/>
    <s v="Returned"/>
    <s v="TRK87787793"/>
    <n v="5"/>
    <s v="NOCOUPONCODE"/>
    <s v="Facebook"/>
    <n v="2357.7600000000002"/>
  </r>
  <r>
    <s v="ORD200073"/>
    <d v="2023-05-03T00:00:00"/>
    <s v="C17269"/>
    <x v="0"/>
    <x v="3"/>
    <n v="433.45"/>
    <s v="129 Main St"/>
    <s v="Gift Card"/>
    <s v="Cancelled"/>
    <s v="TRK79608389"/>
    <n v="4"/>
    <s v="NOCOUPONCODE"/>
    <s v="Facebook"/>
    <n v="1733.8"/>
  </r>
  <r>
    <s v="ORD200074"/>
    <d v="2023-06-24T00:00:00"/>
    <s v="C25382"/>
    <x v="1"/>
    <x v="0"/>
    <n v="90.87"/>
    <s v="622 Main St"/>
    <s v="Cash"/>
    <s v="Pending"/>
    <s v="TRK64691287"/>
    <n v="5"/>
    <s v="NOCOUPONCODE"/>
    <s v="Instagram"/>
    <n v="454.35"/>
  </r>
  <r>
    <s v="ORD200075"/>
    <d v="2023-09-26T00:00:00"/>
    <s v="C80651"/>
    <x v="2"/>
    <x v="4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x v="3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x v="2"/>
    <n v="583.17999999999995"/>
    <s v="348 Main St"/>
    <s v="Credit Card"/>
    <s v="Returned"/>
    <s v="TRK79810059"/>
    <n v="5"/>
    <s v="NOCOUPONCODE"/>
    <s v="Google"/>
    <n v="583.17999999999995"/>
  </r>
  <r>
    <s v="ORD200078"/>
    <d v="2024-08-06T00:00:00"/>
    <s v="C32029"/>
    <x v="4"/>
    <x v="3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x v="1"/>
    <n v="311.91000000000003"/>
    <s v="103 Main St"/>
    <s v="Online"/>
    <s v="Shipped"/>
    <s v="TRK13036341"/>
    <n v="2"/>
    <s v="NOCOUPONCODE"/>
    <s v="Facebook"/>
    <n v="623.82000000000005"/>
  </r>
  <r>
    <s v="ORD200080"/>
    <d v="2023-06-27T00:00:00"/>
    <s v="C29041"/>
    <x v="1"/>
    <x v="4"/>
    <n v="589.55999999999995"/>
    <s v="591 Main St"/>
    <s v="Online"/>
    <s v="Returned"/>
    <s v="TRK28840655"/>
    <n v="6"/>
    <s v="NOCOUPONCODE"/>
    <s v="Facebook"/>
    <n v="1768.68"/>
  </r>
  <r>
    <s v="ORD200081"/>
    <d v="2023-06-08T00:00:00"/>
    <s v="C29314"/>
    <x v="0"/>
    <x v="1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x v="3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x v="3"/>
    <n v="540.41"/>
    <s v="989 Main St"/>
    <s v="Credit Card"/>
    <s v="Cancelled"/>
    <s v="TRK75112172"/>
    <n v="6"/>
    <s v="NOCOUPONCODE"/>
    <s v="Referral"/>
    <n v="2161.64"/>
  </r>
  <r>
    <s v="ORD200084"/>
    <d v="2023-08-28T00:00:00"/>
    <s v="C64160"/>
    <x v="0"/>
    <x v="1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x v="4"/>
    <n v="146.72999999999999"/>
    <s v="768 Main St"/>
    <s v="Cash"/>
    <s v="Delivered"/>
    <s v="TRK93538334"/>
    <n v="8"/>
    <s v="FREESHIP"/>
    <s v="Email"/>
    <n v="440.19"/>
  </r>
  <r>
    <s v="ORD200086"/>
    <d v="2024-06-19T00:00:00"/>
    <s v="C88205"/>
    <x v="4"/>
    <x v="0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x v="4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x v="4"/>
    <n v="114.81"/>
    <s v="318 Main St"/>
    <s v="Gift Card"/>
    <s v="Cancelled"/>
    <s v="TRK19831653"/>
    <n v="7"/>
    <s v="NOCOUPONCODE"/>
    <s v="Google"/>
    <n v="344.43"/>
  </r>
  <r>
    <s v="ORD200089"/>
    <d v="2025-02-25T00:00:00"/>
    <s v="C17181"/>
    <x v="4"/>
    <x v="0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x v="3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x v="0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x v="3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x v="3"/>
    <n v="431.01"/>
    <s v="837 Main St"/>
    <s v="Credit Card"/>
    <s v="Returned"/>
    <s v="TRK65990229"/>
    <n v="7"/>
    <s v="NOCOUPONCODE"/>
    <s v="Referral"/>
    <n v="1724.04"/>
  </r>
  <r>
    <s v="ORD200094"/>
    <d v="2023-02-11T00:00:00"/>
    <s v="C79821"/>
    <x v="3"/>
    <x v="2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x v="3"/>
    <n v="117.51"/>
    <s v="839 Main St"/>
    <s v="Debit Card"/>
    <s v="Returned"/>
    <s v="TRK60179774"/>
    <n v="7"/>
    <s v="NOCOUPONCODE"/>
    <s v="Referral"/>
    <n v="470.04"/>
  </r>
  <r>
    <s v="ORD200096"/>
    <d v="2024-06-01T00:00:00"/>
    <s v="C93007"/>
    <x v="1"/>
    <x v="1"/>
    <n v="232.83"/>
    <s v="103 Main St"/>
    <s v="Gift Card"/>
    <s v="Delivered"/>
    <s v="TRK85696091"/>
    <n v="7"/>
    <s v="NOCOUPONCODE"/>
    <s v="Instagram"/>
    <n v="465.66"/>
  </r>
  <r>
    <s v="ORD200097"/>
    <d v="2025-01-21T00:00:00"/>
    <s v="C15624"/>
    <x v="2"/>
    <x v="0"/>
    <n v="619.52"/>
    <s v="922 Main St"/>
    <s v="Debit Card"/>
    <s v="Pending"/>
    <s v="TRK40621141"/>
    <n v="9"/>
    <s v="NOCOUPONCODE"/>
    <s v="Email"/>
    <n v="3097.6"/>
  </r>
  <r>
    <s v="ORD200098"/>
    <d v="2023-01-14T00:00:00"/>
    <s v="C70921"/>
    <x v="4"/>
    <x v="1"/>
    <n v="228.54"/>
    <s v="533 Main St"/>
    <s v="Debit Card"/>
    <s v="Pending"/>
    <s v="TRK54983109"/>
    <n v="3"/>
    <s v="NOCOUPONCODE"/>
    <s v="Email"/>
    <n v="457.08"/>
  </r>
  <r>
    <s v="ORD200099"/>
    <d v="2025-04-12T00:00:00"/>
    <s v="C30477"/>
    <x v="4"/>
    <x v="2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x v="4"/>
    <n v="664.79"/>
    <s v="743 Main St"/>
    <s v="Online"/>
    <s v="Delivered"/>
    <s v="TRK53783265"/>
    <n v="6"/>
    <s v="NOCOUPONCODE"/>
    <s v="Facebook"/>
    <n v="1994.37"/>
  </r>
  <r>
    <s v="ORD200101"/>
    <d v="2023-11-25T00:00:00"/>
    <s v="C15283"/>
    <x v="4"/>
    <x v="2"/>
    <n v="381.02"/>
    <s v="152 Main St"/>
    <s v="Cash"/>
    <s v="Shipped"/>
    <s v="TRK19286291"/>
    <n v="6"/>
    <s v="NOCOUPONCODE"/>
    <s v="Google"/>
    <n v="381.02"/>
  </r>
  <r>
    <s v="ORD200102"/>
    <d v="2023-03-08T00:00:00"/>
    <s v="C18037"/>
    <x v="5"/>
    <x v="1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x v="3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x v="2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x v="4"/>
    <n v="185.4"/>
    <s v="810 Main St"/>
    <s v="Gift Card"/>
    <s v="Cancelled"/>
    <s v="TRK68792129"/>
    <n v="7"/>
    <s v="NOCOUPONCODE"/>
    <s v="Facebook"/>
    <n v="556.20000000000005"/>
  </r>
  <r>
    <s v="ORD200106"/>
    <d v="2023-09-08T00:00:00"/>
    <s v="C73514"/>
    <x v="6"/>
    <x v="4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x v="0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x v="0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x v="4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x v="2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x v="4"/>
    <n v="309.22000000000003"/>
    <s v="620 Main St"/>
    <s v="Online"/>
    <s v="Cancelled"/>
    <s v="TRK74904969"/>
    <n v="7"/>
    <s v="FREESHIP"/>
    <s v="Google"/>
    <n v="927.66"/>
  </r>
  <r>
    <s v="ORD200112"/>
    <d v="2023-01-01T00:00:00"/>
    <s v="C81366"/>
    <x v="0"/>
    <x v="2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x v="0"/>
    <n v="190.08"/>
    <s v="605 Main St"/>
    <s v="Cash"/>
    <s v="Shipped"/>
    <s v="TRK73954365"/>
    <n v="9"/>
    <s v="FREESHIP"/>
    <s v="Instagram"/>
    <n v="950.4"/>
  </r>
  <r>
    <s v="ORD200114"/>
    <d v="2025-01-27T00:00:00"/>
    <s v="C77272"/>
    <x v="0"/>
    <x v="0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x v="0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x v="3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x v="2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x v="0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x v="1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x v="3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x v="2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x v="1"/>
    <n v="533.02"/>
    <s v="588 Main St"/>
    <s v="Gift Card"/>
    <s v="Shipped"/>
    <s v="TRK30422853"/>
    <n v="2"/>
    <s v="NOCOUPONCODE"/>
    <s v="Facebook"/>
    <n v="1066.04"/>
  </r>
  <r>
    <s v="ORD200123"/>
    <d v="2023-07-06T00:00:00"/>
    <s v="C86064"/>
    <x v="6"/>
    <x v="4"/>
    <n v="278.04000000000002"/>
    <s v="727 Main St"/>
    <s v="Online"/>
    <s v="Delivered"/>
    <s v="TRK62182901"/>
    <n v="5"/>
    <s v="NOCOUPONCODE"/>
    <s v="Instagram"/>
    <n v="834.12"/>
  </r>
  <r>
    <s v="ORD200124"/>
    <d v="2024-07-28T00:00:00"/>
    <s v="C97148"/>
    <x v="4"/>
    <x v="3"/>
    <n v="283.79000000000002"/>
    <s v="563 Main St"/>
    <s v="Online"/>
    <s v="Pending"/>
    <s v="TRK85321126"/>
    <n v="8"/>
    <s v="NOCOUPONCODE"/>
    <s v="Google"/>
    <n v="1135.1600000000001"/>
  </r>
  <r>
    <s v="ORD200125"/>
    <d v="2024-11-06T00:00:00"/>
    <s v="C91099"/>
    <x v="1"/>
    <x v="1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x v="3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x v="4"/>
    <n v="469.32"/>
    <s v="365 Main St"/>
    <s v="Debit Card"/>
    <s v="Shipped"/>
    <s v="TRK73929833"/>
    <n v="3"/>
    <s v="NOCOUPONCODE"/>
    <s v="Google"/>
    <n v="1407.96"/>
  </r>
  <r>
    <s v="ORD200128"/>
    <d v="2023-02-17T00:00:00"/>
    <s v="C86408"/>
    <x v="2"/>
    <x v="3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x v="3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x v="4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x v="2"/>
    <n v="84.8"/>
    <s v="606 Main St"/>
    <s v="Gift Card"/>
    <s v="Pending"/>
    <s v="TRK51648833"/>
    <n v="5"/>
    <s v="NOCOUPONCODE"/>
    <s v="Instagram"/>
    <n v="84.8"/>
  </r>
  <r>
    <s v="ORD200132"/>
    <d v="2023-03-28T00:00:00"/>
    <s v="C96257"/>
    <x v="2"/>
    <x v="3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x v="3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x v="1"/>
    <n v="199.7"/>
    <s v="583 Main St"/>
    <s v="Cash"/>
    <s v="Pending"/>
    <s v="TRK17354894"/>
    <n v="4"/>
    <s v="NOCOUPONCODE"/>
    <s v="Email"/>
    <n v="399.4"/>
  </r>
  <r>
    <s v="ORD200135"/>
    <d v="2023-08-04T00:00:00"/>
    <s v="C79909"/>
    <x v="4"/>
    <x v="1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x v="2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x v="1"/>
    <n v="250.98"/>
    <s v="598 Main St"/>
    <s v="Credit Card"/>
    <s v="Delivered"/>
    <s v="TRK12242337"/>
    <n v="5"/>
    <s v="NOCOUPONCODE"/>
    <s v="Google"/>
    <n v="501.96"/>
  </r>
  <r>
    <s v="ORD200138"/>
    <d v="2023-12-21T00:00:00"/>
    <s v="C21905"/>
    <x v="2"/>
    <x v="2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x v="2"/>
    <n v="583.9"/>
    <s v="714 Main St"/>
    <s v="Cash"/>
    <s v="Returned"/>
    <s v="TRK33114521"/>
    <n v="1"/>
    <s v="NOCOUPONCODE"/>
    <s v="Email"/>
    <n v="583.9"/>
  </r>
  <r>
    <s v="ORD200140"/>
    <d v="2025-05-31T00:00:00"/>
    <s v="C33110"/>
    <x v="3"/>
    <x v="4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x v="4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x v="0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x v="3"/>
    <n v="400.07"/>
    <s v="933 Main St"/>
    <s v="Online"/>
    <s v="Shipped"/>
    <s v="TRK34654244"/>
    <n v="5"/>
    <s v="NOCOUPONCODE"/>
    <s v="Referral"/>
    <n v="1600.28"/>
  </r>
  <r>
    <s v="ORD200144"/>
    <d v="2023-08-04T00:00:00"/>
    <s v="C63365"/>
    <x v="6"/>
    <x v="0"/>
    <n v="219.78"/>
    <s v="895 Main St"/>
    <s v="Credit Card"/>
    <s v="Pending"/>
    <s v="TRK80100887"/>
    <n v="8"/>
    <s v="NOCOUPONCODE"/>
    <s v="Facebook"/>
    <n v="1098.9000000000001"/>
  </r>
  <r>
    <s v="ORD200145"/>
    <d v="2024-03-02T00:00:00"/>
    <s v="C85929"/>
    <x v="4"/>
    <x v="4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x v="1"/>
    <n v="411.49"/>
    <s v="404 Main St"/>
    <s v="Credit Card"/>
    <s v="Returned"/>
    <s v="TRK68893369"/>
    <n v="4"/>
    <s v="NOCOUPONCODE"/>
    <s v="Instagram"/>
    <n v="822.98"/>
  </r>
  <r>
    <s v="ORD200147"/>
    <d v="2025-05-06T00:00:00"/>
    <s v="C46316"/>
    <x v="5"/>
    <x v="1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x v="1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x v="2"/>
    <n v="217.56"/>
    <s v="174 Main St"/>
    <s v="Debit Card"/>
    <s v="Delivered"/>
    <s v="TRK47153818"/>
    <n v="3"/>
    <s v="NOCOUPONCODE"/>
    <s v="Facebook"/>
    <n v="217.56"/>
  </r>
  <r>
    <s v="ORD200150"/>
    <d v="2023-12-13T00:00:00"/>
    <s v="C25503"/>
    <x v="1"/>
    <x v="1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x v="0"/>
    <n v="444.76"/>
    <s v="947 Main St"/>
    <s v="Debit Card"/>
    <s v="Returned"/>
    <s v="TRK91226500"/>
    <n v="7"/>
    <s v="NOCOUPONCODE"/>
    <s v="Email"/>
    <n v="2223.8000000000002"/>
  </r>
  <r>
    <s v="ORD200152"/>
    <d v="2025-01-02T00:00:00"/>
    <s v="C77736"/>
    <x v="3"/>
    <x v="1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x v="3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x v="3"/>
    <n v="408.21"/>
    <s v="727 Main St"/>
    <s v="Credit Card"/>
    <s v="Pending"/>
    <s v="TRK13955543"/>
    <n v="9"/>
    <s v="NOCOUPONCODE"/>
    <s v="Instagram"/>
    <n v="1632.84"/>
  </r>
  <r>
    <s v="ORD200155"/>
    <d v="2023-02-27T00:00:00"/>
    <s v="C62740"/>
    <x v="1"/>
    <x v="2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x v="1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x v="1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x v="2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x v="2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x v="3"/>
    <n v="101.32"/>
    <s v="240 Main St"/>
    <s v="Cash"/>
    <s v="Pending"/>
    <s v="TRK81738254"/>
    <n v="7"/>
    <s v="NOCOUPONCODE"/>
    <s v="Referral"/>
    <n v="405.28"/>
  </r>
  <r>
    <s v="ORD200161"/>
    <d v="2024-03-29T00:00:00"/>
    <s v="C35091"/>
    <x v="0"/>
    <x v="2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x v="4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x v="2"/>
    <n v="641.39"/>
    <s v="277 Main St"/>
    <s v="Online"/>
    <s v="Cancelled"/>
    <s v="TRK16695001"/>
    <n v="1"/>
    <s v="NOCOUPONCODE"/>
    <s v="Referral"/>
    <n v="641.39"/>
  </r>
  <r>
    <s v="ORD200164"/>
    <d v="2023-12-28T00:00:00"/>
    <s v="C70566"/>
    <x v="6"/>
    <x v="0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x v="1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x v="4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x v="1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x v="2"/>
    <n v="594.96"/>
    <s v="878 Main St"/>
    <s v="Cash"/>
    <s v="Returned"/>
    <s v="TRK78551375"/>
    <n v="6"/>
    <s v="NOCOUPONCODE"/>
    <s v="Facebook"/>
    <n v="594.96"/>
  </r>
  <r>
    <s v="ORD200169"/>
    <d v="2024-04-07T00:00:00"/>
    <s v="C35785"/>
    <x v="4"/>
    <x v="2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x v="3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x v="1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x v="2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x v="4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x v="3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x v="0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x v="3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x v="0"/>
    <n v="431.69"/>
    <s v="354 Main St"/>
    <s v="Credit Card"/>
    <s v="Pending"/>
    <s v="TRK13003066"/>
    <n v="10"/>
    <s v="NOCOUPONCODE"/>
    <s v="Facebook"/>
    <n v="2158.4499999999998"/>
  </r>
  <r>
    <s v="ORD200178"/>
    <d v="2024-04-11T00:00:00"/>
    <s v="C53070"/>
    <x v="3"/>
    <x v="3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x v="4"/>
    <n v="539.91"/>
    <s v="500 Main St"/>
    <s v="Credit Card"/>
    <s v="Delivered"/>
    <s v="TRK14332053"/>
    <n v="8"/>
    <s v="NOCOUPONCODE"/>
    <s v="Email"/>
    <n v="1619.73"/>
  </r>
  <r>
    <s v="ORD200180"/>
    <d v="2023-03-18T00:00:00"/>
    <s v="C87216"/>
    <x v="2"/>
    <x v="0"/>
    <n v="316.07"/>
    <s v="970 Main St"/>
    <s v="Cash"/>
    <s v="Returned"/>
    <s v="TRK18713727"/>
    <n v="10"/>
    <s v="NOCOUPONCODE"/>
    <s v="Google"/>
    <n v="1580.35"/>
  </r>
  <r>
    <s v="ORD200181"/>
    <d v="2024-08-31T00:00:00"/>
    <s v="C38966"/>
    <x v="4"/>
    <x v="0"/>
    <n v="404.39"/>
    <s v="247 Main St"/>
    <s v="Online"/>
    <s v="Shipped"/>
    <s v="TRK17205146"/>
    <n v="10"/>
    <s v="NOCOUPONCODE"/>
    <s v="Referral"/>
    <n v="2021.95"/>
  </r>
  <r>
    <s v="ORD200182"/>
    <d v="2025-03-19T00:00:00"/>
    <s v="C16612"/>
    <x v="6"/>
    <x v="2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x v="0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x v="3"/>
    <n v="214.54"/>
    <s v="231 Main St"/>
    <s v="Gift Card"/>
    <s v="Cancelled"/>
    <s v="TRK39255469"/>
    <n v="7"/>
    <s v="NOCOUPONCODE"/>
    <s v="Referral"/>
    <n v="858.16"/>
  </r>
  <r>
    <s v="ORD200185"/>
    <d v="2025-02-02T00:00:00"/>
    <s v="C46877"/>
    <x v="5"/>
    <x v="2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x v="1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x v="2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x v="1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x v="0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x v="4"/>
    <n v="223.7"/>
    <s v="725 Main St"/>
    <s v="Cash"/>
    <s v="Returned"/>
    <s v="TRK79638203"/>
    <n v="3"/>
    <s v="SAVE10"/>
    <s v="Email"/>
    <n v="671.1"/>
  </r>
  <r>
    <s v="ORD200191"/>
    <d v="2025-03-08T00:00:00"/>
    <s v="C51494"/>
    <x v="5"/>
    <x v="1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x v="2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x v="2"/>
    <n v="46.66"/>
    <s v="429 Main St"/>
    <s v="Cash"/>
    <s v="Cancelled"/>
    <s v="TRK81320339"/>
    <n v="6"/>
    <s v="NOCOUPONCODE"/>
    <s v="Google"/>
    <n v="46.66"/>
  </r>
  <r>
    <s v="ORD200194"/>
    <d v="2024-06-08T00:00:00"/>
    <s v="C53501"/>
    <x v="0"/>
    <x v="2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x v="4"/>
    <n v="619.21"/>
    <s v="801 Main St"/>
    <s v="Debit Card"/>
    <s v="Cancelled"/>
    <s v="TRK65385674"/>
    <n v="6"/>
    <s v="NOCOUPONCODE"/>
    <s v="Email"/>
    <n v="1857.63"/>
  </r>
  <r>
    <s v="ORD200196"/>
    <d v="2025-01-24T00:00:00"/>
    <s v="C40882"/>
    <x v="6"/>
    <x v="3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x v="0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x v="3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x v="2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x v="0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x v="1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x v="4"/>
    <n v="253.98"/>
    <s v="636 Main St"/>
    <s v="Credit Card"/>
    <s v="Cancelled"/>
    <s v="TRK52522904"/>
    <n v="3"/>
    <s v="FREESHIP"/>
    <s v="Email"/>
    <n v="761.94"/>
  </r>
  <r>
    <s v="ORD200203"/>
    <d v="2025-01-21T00:00:00"/>
    <s v="C99173"/>
    <x v="4"/>
    <x v="4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x v="3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x v="4"/>
    <n v="147.38999999999999"/>
    <s v="609 Main St"/>
    <s v="Debit Card"/>
    <s v="Returned"/>
    <s v="TRK58357269"/>
    <n v="3"/>
    <s v="NOCOUPONCODE"/>
    <s v="Email"/>
    <n v="442.17"/>
  </r>
  <r>
    <s v="ORD200206"/>
    <d v="2024-04-16T00:00:00"/>
    <s v="C31072"/>
    <x v="5"/>
    <x v="3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x v="2"/>
    <n v="121.96"/>
    <s v="999 Main St"/>
    <s v="Debit Card"/>
    <s v="Delivered"/>
    <s v="TRK44416659"/>
    <n v="3"/>
    <s v="NOCOUPONCODE"/>
    <s v="Google"/>
    <n v="121.96"/>
  </r>
  <r>
    <s v="ORD200208"/>
    <d v="2024-10-08T00:00:00"/>
    <s v="C87777"/>
    <x v="6"/>
    <x v="1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x v="0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x v="4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x v="4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x v="2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x v="2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x v="3"/>
    <n v="305.72000000000003"/>
    <s v="673 Main St"/>
    <s v="Online"/>
    <s v="Delivered"/>
    <s v="TRK89423603"/>
    <n v="5"/>
    <s v="NOCOUPONCODE"/>
    <s v="Facebook"/>
    <n v="1222.8800000000001"/>
  </r>
  <r>
    <s v="ORD200215"/>
    <d v="2023-08-10T00:00:00"/>
    <s v="C26767"/>
    <x v="4"/>
    <x v="2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x v="3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x v="3"/>
    <n v="321.51"/>
    <s v="908 Main St"/>
    <s v="Cash"/>
    <s v="Returned"/>
    <s v="TRK65596914"/>
    <n v="9"/>
    <s v="NOCOUPONCODE"/>
    <s v="Google"/>
    <n v="1286.04"/>
  </r>
  <r>
    <s v="ORD200218"/>
    <d v="2023-04-28T00:00:00"/>
    <s v="C11665"/>
    <x v="2"/>
    <x v="4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x v="0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x v="1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x v="0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x v="3"/>
    <n v="693.36"/>
    <s v="931 Main St"/>
    <s v="Online"/>
    <s v="Shipped"/>
    <s v="TRK17293348"/>
    <n v="8"/>
    <s v="NOCOUPONCODE"/>
    <s v="Instagram"/>
    <n v="2773.44"/>
  </r>
  <r>
    <s v="ORD200223"/>
    <d v="2024-09-11T00:00:00"/>
    <s v="C22783"/>
    <x v="1"/>
    <x v="3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x v="3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x v="4"/>
    <n v="273.95999999999998"/>
    <s v="692 Main St"/>
    <s v="Debit Card"/>
    <s v="Returned"/>
    <s v="TRK50246700"/>
    <n v="8"/>
    <s v="SAVE10"/>
    <s v="Google"/>
    <n v="821.88"/>
  </r>
  <r>
    <s v="ORD200226"/>
    <d v="2025-06-27T00:00:00"/>
    <s v="C31501"/>
    <x v="6"/>
    <x v="4"/>
    <n v="588.04999999999995"/>
    <s v="242 Main St"/>
    <s v="Gift Card"/>
    <s v="Delivered"/>
    <s v="TRK93063929"/>
    <n v="8"/>
    <s v="NOCOUPONCODE"/>
    <s v="Instagram"/>
    <n v="1764.15"/>
  </r>
  <r>
    <s v="ORD200227"/>
    <d v="2023-11-02T00:00:00"/>
    <s v="C93220"/>
    <x v="0"/>
    <x v="1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x v="3"/>
    <n v="385.92"/>
    <s v="579 Main St"/>
    <s v="Credit Card"/>
    <s v="Cancelled"/>
    <s v="TRK92055007"/>
    <n v="8"/>
    <s v="NOCOUPONCODE"/>
    <s v="Instagram"/>
    <n v="1543.68"/>
  </r>
  <r>
    <s v="ORD200229"/>
    <d v="2025-03-28T00:00:00"/>
    <s v="C62622"/>
    <x v="2"/>
    <x v="2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x v="3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x v="3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x v="3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x v="4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x v="3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x v="2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x v="2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x v="4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x v="3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x v="4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x v="2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x v="0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x v="1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x v="1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x v="1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x v="2"/>
    <n v="223.3"/>
    <s v="306 Main St"/>
    <s v="Online"/>
    <s v="Returned"/>
    <s v="TRK25390491"/>
    <n v="1"/>
    <s v="NOCOUPONCODE"/>
    <s v="Facebook"/>
    <n v="223.3"/>
  </r>
  <r>
    <s v="ORD200246"/>
    <d v="2024-08-30T00:00:00"/>
    <s v="C55354"/>
    <x v="6"/>
    <x v="1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x v="1"/>
    <n v="220.9"/>
    <s v="785 Main St"/>
    <s v="Gift Card"/>
    <s v="Shipped"/>
    <s v="TRK84984764"/>
    <n v="4"/>
    <s v="NOCOUPONCODE"/>
    <s v="Email"/>
    <n v="441.8"/>
  </r>
  <r>
    <s v="ORD200248"/>
    <d v="2023-07-02T00:00:00"/>
    <s v="C97187"/>
    <x v="5"/>
    <x v="2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x v="2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x v="4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x v="3"/>
    <n v="14.69"/>
    <s v="814 Main St"/>
    <s v="Cash"/>
    <s v="Cancelled"/>
    <s v="TRK32995144"/>
    <n v="9"/>
    <s v="NOCOUPONCODE"/>
    <s v="Email"/>
    <n v="58.76"/>
  </r>
  <r>
    <s v="ORD200252"/>
    <d v="2024-09-20T00:00:00"/>
    <s v="C19648"/>
    <x v="1"/>
    <x v="3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x v="3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x v="4"/>
    <n v="263.19"/>
    <s v="770 Main St"/>
    <s v="Online"/>
    <s v="Delivered"/>
    <s v="TRK34809583"/>
    <n v="5"/>
    <s v="NOCOUPONCODE"/>
    <s v="Instagram"/>
    <n v="789.57"/>
  </r>
  <r>
    <s v="ORD200255"/>
    <d v="2024-05-13T00:00:00"/>
    <s v="C47283"/>
    <x v="0"/>
    <x v="2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x v="0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x v="2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x v="1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x v="3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x v="1"/>
    <n v="407.79"/>
    <s v="153 Main St"/>
    <s v="Debit Card"/>
    <s v="Shipped"/>
    <s v="TRK22000463"/>
    <n v="3"/>
    <s v="NOCOUPONCODE"/>
    <s v="Google"/>
    <n v="815.58"/>
  </r>
  <r>
    <s v="ORD200261"/>
    <d v="2025-05-28T00:00:00"/>
    <s v="C68976"/>
    <x v="1"/>
    <x v="0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x v="3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x v="3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x v="2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x v="2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x v="3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x v="0"/>
    <n v="468.51"/>
    <s v="803 Main St"/>
    <s v="Debit Card"/>
    <s v="Delivered"/>
    <s v="TRK62361867"/>
    <n v="9"/>
    <s v="NOCOUPONCODE"/>
    <s v="Facebook"/>
    <n v="2342.5500000000002"/>
  </r>
  <r>
    <s v="ORD200268"/>
    <d v="2023-08-11T00:00:00"/>
    <s v="C37032"/>
    <x v="1"/>
    <x v="1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x v="3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x v="3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x v="2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x v="1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x v="1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x v="1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x v="1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x v="1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x v="0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x v="0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x v="4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x v="4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x v="3"/>
    <n v="654.79"/>
    <s v="195 Main St"/>
    <s v="Cash"/>
    <s v="Pending"/>
    <s v="TRK60093390"/>
    <n v="9"/>
    <s v="NOCOUPONCODE"/>
    <s v="Referral"/>
    <n v="2619.16"/>
  </r>
  <r>
    <s v="ORD200282"/>
    <d v="2025-04-22T00:00:00"/>
    <s v="C30411"/>
    <x v="4"/>
    <x v="3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x v="3"/>
    <n v="540.33000000000004"/>
    <s v="990 Main St"/>
    <s v="Cash"/>
    <s v="Shipped"/>
    <s v="TRK69745608"/>
    <n v="6"/>
    <s v="NOCOUPONCODE"/>
    <s v="Google"/>
    <n v="2161.3200000000002"/>
  </r>
  <r>
    <s v="ORD200284"/>
    <d v="2023-02-16T00:00:00"/>
    <s v="C27203"/>
    <x v="5"/>
    <x v="0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x v="2"/>
    <n v="338.31"/>
    <s v="974 Main St"/>
    <s v="Online"/>
    <s v="Delivered"/>
    <s v="TRK93281700"/>
    <n v="3"/>
    <s v="NOCOUPONCODE"/>
    <s v="Google"/>
    <n v="338.31"/>
  </r>
  <r>
    <s v="ORD200286"/>
    <d v="2025-04-07T00:00:00"/>
    <s v="C70554"/>
    <x v="0"/>
    <x v="4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x v="3"/>
    <n v="655.17999999999995"/>
    <s v="630 Main St"/>
    <s v="Online"/>
    <s v="Shipped"/>
    <s v="TRK26628830"/>
    <n v="5"/>
    <s v="NOCOUPONCODE"/>
    <s v="Facebook"/>
    <n v="2620.7199999999998"/>
  </r>
  <r>
    <s v="ORD200288"/>
    <d v="2023-03-12T00:00:00"/>
    <s v="C97643"/>
    <x v="5"/>
    <x v="3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x v="3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x v="4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x v="1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x v="2"/>
    <n v="65.95"/>
    <s v="185 Main St"/>
    <s v="Credit Card"/>
    <s v="Delivered"/>
    <s v="TRK31042152"/>
    <n v="5"/>
    <s v="NOCOUPONCODE"/>
    <s v="Facebook"/>
    <n v="65.95"/>
  </r>
  <r>
    <s v="ORD200293"/>
    <d v="2023-02-16T00:00:00"/>
    <s v="C33220"/>
    <x v="2"/>
    <x v="3"/>
    <n v="463.04"/>
    <s v="564 Main St"/>
    <s v="Gift Card"/>
    <s v="Returned"/>
    <s v="TRK40450219"/>
    <n v="9"/>
    <s v="NOCOUPONCODE"/>
    <s v="Instagram"/>
    <n v="1852.16"/>
  </r>
  <r>
    <s v="ORD200294"/>
    <d v="2025-04-01T00:00:00"/>
    <s v="C65414"/>
    <x v="1"/>
    <x v="1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x v="0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x v="0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x v="1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x v="3"/>
    <n v="301.17"/>
    <s v="267 Main St"/>
    <s v="Online"/>
    <s v="Cancelled"/>
    <s v="TRK97825212"/>
    <n v="6"/>
    <s v="NOCOUPONCODE"/>
    <s v="Email"/>
    <n v="1204.68"/>
  </r>
  <r>
    <s v="ORD200299"/>
    <d v="2024-01-20T00:00:00"/>
    <s v="C30711"/>
    <x v="0"/>
    <x v="2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x v="2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x v="2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x v="4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x v="2"/>
    <n v="30.54"/>
    <s v="368 Main St"/>
    <s v="Debit Card"/>
    <s v="Returned"/>
    <s v="TRK95462192"/>
    <n v="1"/>
    <s v="NOCOUPONCODE"/>
    <s v="Google"/>
    <n v="30.54"/>
  </r>
  <r>
    <s v="ORD200304"/>
    <d v="2024-10-18T00:00:00"/>
    <s v="C86762"/>
    <x v="0"/>
    <x v="0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x v="3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x v="1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x v="4"/>
    <n v="557.41"/>
    <s v="135 Main St"/>
    <s v="Online"/>
    <s v="Delivered"/>
    <s v="TRK11755610"/>
    <n v="4"/>
    <s v="NOCOUPONCODE"/>
    <s v="Email"/>
    <n v="1672.23"/>
  </r>
  <r>
    <s v="ORD200308"/>
    <d v="2023-12-11T00:00:00"/>
    <s v="C75888"/>
    <x v="4"/>
    <x v="4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x v="3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x v="4"/>
    <n v="132.47999999999999"/>
    <s v="968 Main St"/>
    <s v="Online"/>
    <s v="Shipped"/>
    <s v="TRK16094218"/>
    <n v="4"/>
    <s v="NOCOUPONCODE"/>
    <s v="Referral"/>
    <n v="397.44"/>
  </r>
  <r>
    <s v="ORD200311"/>
    <d v="2025-05-17T00:00:00"/>
    <s v="C71698"/>
    <x v="6"/>
    <x v="0"/>
    <n v="489.37"/>
    <s v="274 Main St"/>
    <s v="Online"/>
    <s v="Returned"/>
    <s v="TRK34786818"/>
    <n v="8"/>
    <s v="NOCOUPONCODE"/>
    <s v="Instagram"/>
    <n v="2446.85"/>
  </r>
  <r>
    <s v="ORD200312"/>
    <d v="2025-05-24T00:00:00"/>
    <s v="C35397"/>
    <x v="4"/>
    <x v="0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x v="1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x v="3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x v="0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x v="3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x v="1"/>
    <n v="139.94999999999999"/>
    <s v="339 Main St"/>
    <s v="Online"/>
    <s v="Returned"/>
    <s v="TRK22575151"/>
    <n v="5"/>
    <s v="NOCOUPONCODE"/>
    <s v="Instagram"/>
    <n v="279.89999999999998"/>
  </r>
  <r>
    <s v="ORD200318"/>
    <d v="2024-07-27T00:00:00"/>
    <s v="C93375"/>
    <x v="3"/>
    <x v="4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x v="1"/>
    <n v="563.05999999999995"/>
    <s v="413 Main St"/>
    <s v="Cash"/>
    <s v="Returned"/>
    <s v="TRK48974907"/>
    <n v="6"/>
    <s v="NOCOUPONCODE"/>
    <s v="Instagram"/>
    <n v="1126.1199999999999"/>
  </r>
  <r>
    <s v="ORD200320"/>
    <d v="2024-12-19T00:00:00"/>
    <s v="C55590"/>
    <x v="4"/>
    <x v="2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x v="3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x v="0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x v="2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x v="4"/>
    <n v="70.930000000000007"/>
    <s v="847 Main St"/>
    <s v="Debit Card"/>
    <s v="Returned"/>
    <s v="TRK70193221"/>
    <n v="5"/>
    <s v="NOCOUPONCODE"/>
    <s v="Referral"/>
    <n v="212.79"/>
  </r>
  <r>
    <s v="ORD200325"/>
    <d v="2023-06-29T00:00:00"/>
    <s v="C53545"/>
    <x v="6"/>
    <x v="4"/>
    <n v="361.39"/>
    <s v="665 Main St"/>
    <s v="Credit Card"/>
    <s v="Shipped"/>
    <s v="TRK61123177"/>
    <n v="8"/>
    <s v="NOCOUPONCODE"/>
    <s v="Referral"/>
    <n v="1084.17"/>
  </r>
  <r>
    <s v="ORD200326"/>
    <d v="2024-07-01T00:00:00"/>
    <s v="C65986"/>
    <x v="5"/>
    <x v="0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x v="2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x v="0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x v="3"/>
    <n v="283.16000000000003"/>
    <s v="306 Main St"/>
    <s v="Credit Card"/>
    <s v="Shipped"/>
    <s v="TRK63224811"/>
    <n v="6"/>
    <s v="NOCOUPONCODE"/>
    <s v="Google"/>
    <n v="1132.6400000000001"/>
  </r>
  <r>
    <s v="ORD200330"/>
    <d v="2024-06-02T00:00:00"/>
    <s v="C38068"/>
    <x v="6"/>
    <x v="0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x v="4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x v="0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x v="2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x v="3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x v="4"/>
    <n v="205.86"/>
    <s v="978 Main St"/>
    <s v="Gift Card"/>
    <s v="Shipped"/>
    <s v="TRK34801199"/>
    <n v="4"/>
    <s v="NOCOUPONCODE"/>
    <s v="Email"/>
    <n v="617.58000000000004"/>
  </r>
  <r>
    <s v="ORD200336"/>
    <d v="2023-12-29T00:00:00"/>
    <s v="C88174"/>
    <x v="5"/>
    <x v="2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x v="4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x v="0"/>
    <n v="305.49"/>
    <s v="704 Main St"/>
    <s v="Debit Card"/>
    <s v="Shipped"/>
    <s v="TRK64112352"/>
    <n v="10"/>
    <s v="NOCOUPONCODE"/>
    <s v="Referral"/>
    <n v="1527.45"/>
  </r>
  <r>
    <s v="ORD200339"/>
    <d v="2024-04-10T00:00:00"/>
    <s v="C84563"/>
    <x v="4"/>
    <x v="1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x v="0"/>
    <n v="521.25"/>
    <s v="826 Main St"/>
    <s v="Cash"/>
    <s v="Cancelled"/>
    <s v="TRK25569378"/>
    <n v="8"/>
    <s v="NOCOUPONCODE"/>
    <s v="Email"/>
    <n v="2606.25"/>
  </r>
  <r>
    <s v="ORD200341"/>
    <d v="2024-09-23T00:00:00"/>
    <s v="C94671"/>
    <x v="2"/>
    <x v="2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x v="0"/>
    <n v="466.42"/>
    <s v="619 Main St"/>
    <s v="Gift Card"/>
    <s v="Returned"/>
    <s v="TRK95935805"/>
    <n v="5"/>
    <s v="NOCOUPONCODE"/>
    <s v="Referral"/>
    <n v="2332.1"/>
  </r>
  <r>
    <s v="ORD200343"/>
    <d v="2023-02-26T00:00:00"/>
    <s v="C64638"/>
    <x v="4"/>
    <x v="2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x v="4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x v="0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x v="2"/>
    <n v="655.09"/>
    <s v="876 Main St"/>
    <s v="Cash"/>
    <s v="Pending"/>
    <s v="TRK44680433"/>
    <n v="6"/>
    <s v="NOCOUPONCODE"/>
    <s v="Referral"/>
    <n v="655.09"/>
  </r>
  <r>
    <s v="ORD200347"/>
    <d v="2024-02-03T00:00:00"/>
    <s v="C83556"/>
    <x v="4"/>
    <x v="3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x v="4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x v="2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x v="1"/>
    <n v="54.41"/>
    <s v="495 Main St"/>
    <s v="Online"/>
    <s v="Shipped"/>
    <s v="TRK60127216"/>
    <n v="6"/>
    <s v="NOCOUPONCODE"/>
    <s v="Instagram"/>
    <n v="108.82"/>
  </r>
  <r>
    <s v="ORD200351"/>
    <d v="2025-02-15T00:00:00"/>
    <s v="C94248"/>
    <x v="5"/>
    <x v="2"/>
    <n v="64.66"/>
    <s v="494 Main St"/>
    <s v="Debit Card"/>
    <s v="Delivered"/>
    <s v="TRK89406816"/>
    <n v="4"/>
    <s v="NOCOUPONCODE"/>
    <s v="Instagram"/>
    <n v="64.66"/>
  </r>
  <r>
    <s v="ORD200352"/>
    <d v="2023-08-31T00:00:00"/>
    <s v="C26637"/>
    <x v="3"/>
    <x v="0"/>
    <n v="173.96"/>
    <s v="995 Main St"/>
    <s v="Debit Card"/>
    <s v="Pending"/>
    <s v="TRK59546992"/>
    <n v="8"/>
    <s v="WINTER15"/>
    <s v="Instagram"/>
    <n v="869.8"/>
  </r>
  <r>
    <s v="ORD200353"/>
    <d v="2025-03-28T00:00:00"/>
    <s v="C16012"/>
    <x v="2"/>
    <x v="2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x v="2"/>
    <n v="693.41"/>
    <s v="992 Main St"/>
    <s v="Debit Card"/>
    <s v="Shipped"/>
    <s v="TRK11970357"/>
    <n v="4"/>
    <s v="NOCOUPONCODE"/>
    <s v="Instagram"/>
    <n v="693.41"/>
  </r>
  <r>
    <s v="ORD200355"/>
    <d v="2025-06-03T00:00:00"/>
    <s v="C18353"/>
    <x v="2"/>
    <x v="4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x v="0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x v="0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x v="1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x v="3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x v="3"/>
    <n v="589.57000000000005"/>
    <s v="779 Main St"/>
    <s v="Cash"/>
    <s v="Pending"/>
    <s v="TRK34630612"/>
    <n v="8"/>
    <s v="NOCOUPONCODE"/>
    <s v="Instagram"/>
    <n v="2358.2800000000002"/>
  </r>
  <r>
    <s v="ORD200361"/>
    <d v="2024-06-29T00:00:00"/>
    <s v="C53464"/>
    <x v="4"/>
    <x v="0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x v="3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x v="0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x v="0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x v="2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x v="4"/>
    <n v="602.24"/>
    <s v="603 Main St"/>
    <s v="Debit Card"/>
    <s v="Pending"/>
    <s v="TRK40630538"/>
    <n v="8"/>
    <s v="NOCOUPONCODE"/>
    <s v="Referral"/>
    <n v="1806.72"/>
  </r>
  <r>
    <s v="ORD200367"/>
    <d v="2024-04-25T00:00:00"/>
    <s v="C13108"/>
    <x v="5"/>
    <x v="0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x v="4"/>
    <n v="271.02"/>
    <s v="403 Main St"/>
    <s v="Credit Card"/>
    <s v="Cancelled"/>
    <s v="TRK89728869"/>
    <n v="6"/>
    <s v="NOCOUPONCODE"/>
    <s v="Google"/>
    <n v="813.06"/>
  </r>
  <r>
    <s v="ORD200369"/>
    <d v="2024-12-22T00:00:00"/>
    <s v="C43545"/>
    <x v="0"/>
    <x v="0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x v="2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x v="0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x v="4"/>
    <n v="483.53"/>
    <s v="166 Main St"/>
    <s v="Cash"/>
    <s v="Returned"/>
    <s v="TRK12123939"/>
    <n v="4"/>
    <s v="NOCOUPONCODE"/>
    <s v="Referral"/>
    <n v="1450.59"/>
  </r>
  <r>
    <s v="ORD200373"/>
    <d v="2023-01-02T00:00:00"/>
    <s v="C60178"/>
    <x v="5"/>
    <x v="4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x v="2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x v="3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x v="0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x v="2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x v="0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x v="4"/>
    <n v="297.67"/>
    <s v="500 Main St"/>
    <s v="Online"/>
    <s v="Shipped"/>
    <s v="TRK85756094"/>
    <n v="6"/>
    <s v="NOCOUPONCODE"/>
    <s v="Google"/>
    <n v="893.01"/>
  </r>
  <r>
    <s v="ORD200380"/>
    <d v="2024-04-20T00:00:00"/>
    <s v="C35355"/>
    <x v="4"/>
    <x v="3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x v="2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x v="3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x v="3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x v="4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x v="0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x v="2"/>
    <n v="93.02"/>
    <s v="373 Main St"/>
    <s v="Online"/>
    <s v="Returned"/>
    <s v="TRK32588504"/>
    <n v="4"/>
    <s v="NOCOUPONCODE"/>
    <s v="Email"/>
    <n v="93.02"/>
  </r>
  <r>
    <s v="ORD200387"/>
    <d v="2024-06-27T00:00:00"/>
    <s v="C25316"/>
    <x v="4"/>
    <x v="1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x v="4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x v="3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x v="0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x v="1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x v="2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x v="2"/>
    <n v="75.010000000000005"/>
    <s v="921 Main St"/>
    <s v="Credit Card"/>
    <s v="Returned"/>
    <s v="TRK24632134"/>
    <n v="3"/>
    <s v="NOCOUPONCODE"/>
    <s v="Google"/>
    <n v="75.010000000000005"/>
  </r>
  <r>
    <s v="ORD200394"/>
    <d v="2023-07-05T00:00:00"/>
    <s v="C70148"/>
    <x v="6"/>
    <x v="0"/>
    <n v="529.54999999999995"/>
    <s v="359 Main St"/>
    <s v="Gift Card"/>
    <s v="Shipped"/>
    <s v="TRK34848650"/>
    <n v="10"/>
    <s v="NOCOUPONCODE"/>
    <s v="Facebook"/>
    <n v="2647.75"/>
  </r>
  <r>
    <s v="ORD200395"/>
    <d v="2025-04-25T00:00:00"/>
    <s v="C30010"/>
    <x v="1"/>
    <x v="4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x v="0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x v="2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x v="0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x v="0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x v="3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x v="2"/>
    <n v="538.67999999999995"/>
    <s v="197 Main St"/>
    <s v="Debit Card"/>
    <s v="Returned"/>
    <s v="TRK14225465"/>
    <n v="6"/>
    <s v="NOCOUPONCODE"/>
    <s v="Referral"/>
    <n v="538.67999999999995"/>
  </r>
  <r>
    <s v="ORD200402"/>
    <d v="2023-04-09T00:00:00"/>
    <s v="C83026"/>
    <x v="4"/>
    <x v="0"/>
    <n v="337.38"/>
    <s v="858 Main St"/>
    <s v="Gift Card"/>
    <s v="Shipped"/>
    <s v="TRK79746259"/>
    <n v="5"/>
    <s v="NOCOUPONCODE"/>
    <s v="Referral"/>
    <n v="1686.9"/>
  </r>
  <r>
    <s v="ORD200403"/>
    <d v="2024-11-10T00:00:00"/>
    <s v="C28893"/>
    <x v="2"/>
    <x v="2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x v="1"/>
    <n v="99.1"/>
    <s v="440 Main St"/>
    <s v="Cash"/>
    <s v="Delivered"/>
    <s v="TRK54571699"/>
    <n v="6"/>
    <s v="NOCOUPONCODE"/>
    <s v="Instagram"/>
    <n v="198.2"/>
  </r>
  <r>
    <s v="ORD200405"/>
    <d v="2025-01-26T00:00:00"/>
    <s v="C97774"/>
    <x v="0"/>
    <x v="3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x v="3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x v="3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x v="4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x v="0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x v="1"/>
    <n v="518.23"/>
    <s v="184 Main St"/>
    <s v="Debit Card"/>
    <s v="Shipped"/>
    <s v="TRK52470162"/>
    <n v="5"/>
    <s v="NOCOUPONCODE"/>
    <s v="Email"/>
    <n v="1036.46"/>
  </r>
  <r>
    <s v="ORD200411"/>
    <d v="2024-06-19T00:00:00"/>
    <s v="C66567"/>
    <x v="6"/>
    <x v="1"/>
    <n v="39.51"/>
    <s v="981 Main St"/>
    <s v="Online"/>
    <s v="Shipped"/>
    <s v="TRK21174822"/>
    <n v="5"/>
    <s v="NOCOUPONCODE"/>
    <s v="Facebook"/>
    <n v="79.02"/>
  </r>
  <r>
    <s v="ORD200412"/>
    <d v="2025-04-11T00:00:00"/>
    <s v="C42451"/>
    <x v="2"/>
    <x v="0"/>
    <n v="133.01"/>
    <s v="246 Main St"/>
    <s v="Credit Card"/>
    <s v="Returned"/>
    <s v="TRK31313343"/>
    <n v="10"/>
    <s v="NOCOUPONCODE"/>
    <s v="Facebook"/>
    <n v="665.05"/>
  </r>
  <r>
    <s v="ORD200413"/>
    <d v="2023-10-08T00:00:00"/>
    <s v="C13923"/>
    <x v="2"/>
    <x v="2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x v="1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x v="2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x v="1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x v="0"/>
    <n v="55.41"/>
    <s v="954 Main St"/>
    <s v="Online"/>
    <s v="Cancelled"/>
    <s v="TRK51429869"/>
    <n v="5"/>
    <s v="NOCOUPONCODE"/>
    <s v="Google"/>
    <n v="277.05"/>
  </r>
  <r>
    <s v="ORD200418"/>
    <d v="2023-01-11T00:00:00"/>
    <s v="C74169"/>
    <x v="4"/>
    <x v="2"/>
    <n v="310.93"/>
    <s v="862 Main St"/>
    <s v="Online"/>
    <s v="Cancelled"/>
    <s v="TRK66144809"/>
    <n v="3"/>
    <s v="NOCOUPONCODE"/>
    <s v="Facebook"/>
    <n v="310.93"/>
  </r>
  <r>
    <s v="ORD200419"/>
    <d v="2024-04-17T00:00:00"/>
    <s v="C70999"/>
    <x v="2"/>
    <x v="1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x v="2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x v="1"/>
    <n v="288.20999999999998"/>
    <s v="769 Main St"/>
    <s v="Debit Card"/>
    <s v="Cancelled"/>
    <s v="TRK53032122"/>
    <n v="5"/>
    <s v="NOCOUPONCODE"/>
    <s v="Email"/>
    <n v="576.41999999999996"/>
  </r>
  <r>
    <s v="ORD200422"/>
    <d v="2023-06-05T00:00:00"/>
    <s v="C76140"/>
    <x v="1"/>
    <x v="3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x v="3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x v="0"/>
    <n v="22.94"/>
    <s v="339 Main St"/>
    <s v="Cash"/>
    <s v="Pending"/>
    <s v="TRK64012257"/>
    <n v="10"/>
    <s v="NOCOUPONCODE"/>
    <s v="Email"/>
    <n v="114.7"/>
  </r>
  <r>
    <s v="ORD200425"/>
    <d v="2023-03-09T00:00:00"/>
    <s v="C40648"/>
    <x v="5"/>
    <x v="1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x v="0"/>
    <n v="57.45"/>
    <s v="315 Main St"/>
    <s v="Cash"/>
    <s v="Cancelled"/>
    <s v="TRK24839296"/>
    <n v="10"/>
    <s v="NOCOUPONCODE"/>
    <s v="Facebook"/>
    <n v="287.25"/>
  </r>
  <r>
    <s v="ORD200427"/>
    <d v="2024-12-18T00:00:00"/>
    <s v="C25406"/>
    <x v="6"/>
    <x v="2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x v="3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x v="3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x v="2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x v="2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x v="1"/>
    <n v="424.32"/>
    <s v="662 Main St"/>
    <s v="Credit Card"/>
    <s v="Returned"/>
    <s v="TRK77163738"/>
    <n v="6"/>
    <s v="NOCOUPONCODE"/>
    <s v="Referral"/>
    <n v="848.64"/>
  </r>
  <r>
    <s v="ORD200433"/>
    <d v="2023-08-26T00:00:00"/>
    <s v="C36613"/>
    <x v="0"/>
    <x v="4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x v="0"/>
    <n v="327.68"/>
    <s v="384 Main St"/>
    <s v="Credit Card"/>
    <s v="Returned"/>
    <s v="TRK85939879"/>
    <n v="6"/>
    <s v="NOCOUPONCODE"/>
    <s v="Facebook"/>
    <n v="1638.4"/>
  </r>
  <r>
    <s v="ORD200435"/>
    <d v="2023-05-27T00:00:00"/>
    <s v="C48601"/>
    <x v="4"/>
    <x v="2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x v="3"/>
    <n v="221.33"/>
    <s v="651 Main St"/>
    <s v="Online"/>
    <s v="Pending"/>
    <s v="TRK73545796"/>
    <n v="5"/>
    <s v="NOCOUPONCODE"/>
    <s v="Google"/>
    <n v="885.32"/>
  </r>
  <r>
    <s v="ORD200437"/>
    <d v="2024-04-18T00:00:00"/>
    <s v="C63378"/>
    <x v="1"/>
    <x v="2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x v="4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x v="2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x v="3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x v="1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x v="0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x v="1"/>
    <n v="69.64"/>
    <s v="813 Main St"/>
    <s v="Cash"/>
    <s v="Returned"/>
    <s v="TRK58970302"/>
    <n v="6"/>
    <s v="NOCOUPONCODE"/>
    <s v="Facebook"/>
    <n v="139.28"/>
  </r>
  <r>
    <s v="ORD200444"/>
    <d v="2024-06-08T00:00:00"/>
    <s v="C79508"/>
    <x v="4"/>
    <x v="2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x v="2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x v="0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x v="1"/>
    <n v="416.81"/>
    <s v="356 Main St"/>
    <s v="Cash"/>
    <s v="Returned"/>
    <s v="TRK45355655"/>
    <n v="2"/>
    <s v="NOCOUPONCODE"/>
    <s v="Facebook"/>
    <n v="833.62"/>
  </r>
  <r>
    <s v="ORD200448"/>
    <d v="2023-09-04T00:00:00"/>
    <s v="C16776"/>
    <x v="5"/>
    <x v="1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x v="4"/>
    <n v="253.05"/>
    <s v="286 Main St"/>
    <s v="Online"/>
    <s v="Pending"/>
    <s v="TRK48688724"/>
    <n v="3"/>
    <s v="NOCOUPONCODE"/>
    <s v="Instagram"/>
    <n v="759.15"/>
  </r>
  <r>
    <s v="ORD200450"/>
    <d v="2024-01-15T00:00:00"/>
    <s v="C36408"/>
    <x v="0"/>
    <x v="0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x v="2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x v="2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x v="2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x v="2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x v="2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x v="0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x v="3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x v="3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x v="2"/>
    <n v="334.39"/>
    <s v="433 Main St"/>
    <s v="Credit Card"/>
    <s v="Returned"/>
    <s v="TRK39717191"/>
    <n v="2"/>
    <s v="NOCOUPONCODE"/>
    <s v="Instagram"/>
    <n v="334.39"/>
  </r>
  <r>
    <s v="ORD200460"/>
    <d v="2024-10-06T00:00:00"/>
    <s v="C83548"/>
    <x v="5"/>
    <x v="2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x v="2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x v="2"/>
    <n v="252.68"/>
    <s v="731 Main St"/>
    <s v="Online"/>
    <s v="Cancelled"/>
    <s v="TRK32796086"/>
    <n v="1"/>
    <s v="NOCOUPONCODE"/>
    <s v="Referral"/>
    <n v="252.68"/>
  </r>
  <r>
    <s v="ORD200463"/>
    <d v="2023-05-26T00:00:00"/>
    <s v="C25276"/>
    <x v="5"/>
    <x v="0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x v="3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x v="0"/>
    <n v="513.49"/>
    <s v="391 Main St"/>
    <s v="Gift Card"/>
    <s v="Cancelled"/>
    <s v="TRK65438300"/>
    <n v="8"/>
    <s v="NOCOUPONCODE"/>
    <s v="Google"/>
    <n v="2567.4499999999998"/>
  </r>
  <r>
    <s v="ORD200466"/>
    <d v="2023-07-18T00:00:00"/>
    <s v="C37412"/>
    <x v="1"/>
    <x v="2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x v="2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x v="2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x v="0"/>
    <n v="676.98"/>
    <s v="893 Main St"/>
    <s v="Cash"/>
    <s v="Cancelled"/>
    <s v="TRK17254691"/>
    <n v="5"/>
    <s v="NOCOUPONCODE"/>
    <s v="Facebook"/>
    <n v="3384.9"/>
  </r>
  <r>
    <s v="ORD200470"/>
    <d v="2023-09-29T00:00:00"/>
    <s v="C25149"/>
    <x v="2"/>
    <x v="3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x v="0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x v="4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x v="1"/>
    <n v="14.93"/>
    <s v="449 Main St"/>
    <s v="Online"/>
    <s v="Shipped"/>
    <s v="TRK71597160"/>
    <n v="4"/>
    <s v="NOCOUPONCODE"/>
    <s v="Facebook"/>
    <n v="29.86"/>
  </r>
  <r>
    <s v="ORD200474"/>
    <d v="2023-11-15T00:00:00"/>
    <s v="C72293"/>
    <x v="4"/>
    <x v="4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x v="1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x v="1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x v="1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x v="4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x v="3"/>
    <n v="25.29"/>
    <s v="943 Main St"/>
    <s v="Credit Card"/>
    <s v="Pending"/>
    <s v="TRK21429162"/>
    <n v="8"/>
    <s v="NOCOUPONCODE"/>
    <s v="Google"/>
    <n v="101.16"/>
  </r>
  <r>
    <s v="ORD200480"/>
    <d v="2023-06-16T00:00:00"/>
    <s v="C21147"/>
    <x v="3"/>
    <x v="2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x v="3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x v="4"/>
    <n v="381.41"/>
    <s v="989 Main St"/>
    <s v="Online"/>
    <s v="Pending"/>
    <s v="TRK22302049"/>
    <n v="6"/>
    <s v="NOCOUPONCODE"/>
    <s v="Instagram"/>
    <n v="1144.23"/>
  </r>
  <r>
    <s v="ORD200483"/>
    <d v="2023-01-18T00:00:00"/>
    <s v="C66462"/>
    <x v="1"/>
    <x v="0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x v="3"/>
    <n v="15.01"/>
    <s v="767 Main St"/>
    <s v="Cash"/>
    <s v="Cancelled"/>
    <s v="TRK90455340"/>
    <n v="6"/>
    <s v="NOCOUPONCODE"/>
    <s v="Facebook"/>
    <n v="60.04"/>
  </r>
  <r>
    <s v="ORD200485"/>
    <d v="2023-08-01T00:00:00"/>
    <s v="C46651"/>
    <x v="3"/>
    <x v="4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x v="3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x v="4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x v="2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x v="4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x v="0"/>
    <n v="467.81"/>
    <s v="539 Main St"/>
    <s v="Online"/>
    <s v="Cancelled"/>
    <s v="TRK62785150"/>
    <n v="10"/>
    <s v="NOCOUPONCODE"/>
    <s v="Facebook"/>
    <n v="2339.0500000000002"/>
  </r>
  <r>
    <s v="ORD200491"/>
    <d v="2023-01-05T00:00:00"/>
    <s v="C98168"/>
    <x v="1"/>
    <x v="0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x v="0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x v="2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x v="4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x v="3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x v="4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x v="4"/>
    <n v="112.29"/>
    <s v="454 Main St"/>
    <s v="Gift Card"/>
    <s v="Shipped"/>
    <s v="TRK77358113"/>
    <n v="6"/>
    <s v="NOCOUPONCODE"/>
    <s v="Google"/>
    <n v="336.87"/>
  </r>
  <r>
    <s v="ORD200498"/>
    <d v="2023-07-12T00:00:00"/>
    <s v="C73961"/>
    <x v="2"/>
    <x v="3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x v="4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x v="0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x v="3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x v="4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x v="4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x v="1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x v="1"/>
    <n v="434.97"/>
    <s v="558 Main St"/>
    <s v="Online"/>
    <s v="Shipped"/>
    <s v="TRK97246526"/>
    <n v="7"/>
    <s v="NOCOUPONCODE"/>
    <s v="Email"/>
    <n v="869.94"/>
  </r>
  <r>
    <s v="ORD200506"/>
    <d v="2023-07-25T00:00:00"/>
    <s v="C23279"/>
    <x v="0"/>
    <x v="1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x v="2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x v="2"/>
    <n v="558.27"/>
    <s v="976 Main St"/>
    <s v="Online"/>
    <s v="Delivered"/>
    <s v="TRK24120267"/>
    <n v="1"/>
    <s v="NOCOUPONCODE"/>
    <s v="Referral"/>
    <n v="558.27"/>
  </r>
  <r>
    <s v="ORD200509"/>
    <d v="2023-02-15T00:00:00"/>
    <s v="C68937"/>
    <x v="5"/>
    <x v="1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x v="2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x v="0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x v="4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x v="4"/>
    <n v="94.88"/>
    <s v="533 Main St"/>
    <s v="Gift Card"/>
    <s v="Shipped"/>
    <s v="TRK37053575"/>
    <n v="8"/>
    <s v="NOCOUPONCODE"/>
    <s v="Referral"/>
    <n v="284.64"/>
  </r>
  <r>
    <s v="ORD200514"/>
    <d v="2023-04-16T00:00:00"/>
    <s v="C15629"/>
    <x v="4"/>
    <x v="4"/>
    <n v="304.14999999999998"/>
    <s v="492 Main St"/>
    <s v="Gift Card"/>
    <s v="Shipped"/>
    <s v="TRK64926044"/>
    <n v="3"/>
    <s v="WINTER15"/>
    <s v="Instagram"/>
    <n v="912.45"/>
  </r>
  <r>
    <s v="ORD200515"/>
    <d v="2023-03-14T00:00:00"/>
    <s v="C67561"/>
    <x v="1"/>
    <x v="4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x v="4"/>
    <n v="166.99"/>
    <s v="208 Main St"/>
    <s v="Cash"/>
    <s v="Returned"/>
    <s v="TRK28855040"/>
    <n v="8"/>
    <s v="NOCOUPONCODE"/>
    <s v="Facebook"/>
    <n v="500.97"/>
  </r>
  <r>
    <s v="ORD200517"/>
    <d v="2024-04-09T00:00:00"/>
    <s v="C55205"/>
    <x v="2"/>
    <x v="3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x v="3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x v="3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x v="4"/>
    <n v="635.98"/>
    <s v="959 Main St"/>
    <s v="Cash"/>
    <s v="Returned"/>
    <s v="TRK27063398"/>
    <n v="5"/>
    <s v="NOCOUPONCODE"/>
    <s v="Referral"/>
    <n v="1907.94"/>
  </r>
  <r>
    <s v="ORD200521"/>
    <d v="2024-02-25T00:00:00"/>
    <s v="C82318"/>
    <x v="1"/>
    <x v="2"/>
    <n v="528.05999999999995"/>
    <s v="991 Main St"/>
    <s v="Credit Card"/>
    <s v="Shipped"/>
    <s v="TRK37534165"/>
    <n v="2"/>
    <s v="NOCOUPONCODE"/>
    <s v="Facebook"/>
    <n v="528.05999999999995"/>
  </r>
  <r>
    <s v="ORD200522"/>
    <d v="2024-04-20T00:00:00"/>
    <s v="C66254"/>
    <x v="3"/>
    <x v="2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x v="3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x v="2"/>
    <n v="153"/>
    <s v="103 Main St"/>
    <s v="Credit Card"/>
    <s v="Returned"/>
    <s v="TRK92617366"/>
    <n v="4"/>
    <s v="NOCOUPONCODE"/>
    <s v="Referral"/>
    <n v="153"/>
  </r>
  <r>
    <s v="ORD200525"/>
    <d v="2023-12-03T00:00:00"/>
    <s v="C54499"/>
    <x v="0"/>
    <x v="2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x v="1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x v="0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x v="2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x v="1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x v="3"/>
    <n v="89.41"/>
    <s v="613 Main St"/>
    <s v="Online"/>
    <s v="Pending"/>
    <s v="TRK14809530"/>
    <n v="9"/>
    <s v="NOCOUPONCODE"/>
    <s v="Google"/>
    <n v="357.64"/>
  </r>
  <r>
    <s v="ORD200531"/>
    <d v="2024-07-02T00:00:00"/>
    <s v="C64502"/>
    <x v="6"/>
    <x v="0"/>
    <n v="320.01"/>
    <s v="722 Main St"/>
    <s v="Gift Card"/>
    <s v="Delivered"/>
    <s v="TRK14914388"/>
    <n v="6"/>
    <s v="NOCOUPONCODE"/>
    <s v="Referral"/>
    <n v="1600.05"/>
  </r>
  <r>
    <s v="ORD200532"/>
    <d v="2025-05-03T00:00:00"/>
    <s v="C47365"/>
    <x v="5"/>
    <x v="1"/>
    <n v="41"/>
    <s v="369 Main St"/>
    <s v="Online"/>
    <s v="Delivered"/>
    <s v="TRK42207882"/>
    <n v="7"/>
    <s v="NOCOUPONCODE"/>
    <s v="Email"/>
    <n v="82"/>
  </r>
  <r>
    <s v="ORD200533"/>
    <d v="2023-03-05T00:00:00"/>
    <s v="C66349"/>
    <x v="6"/>
    <x v="2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x v="4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x v="4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x v="2"/>
    <n v="616.1"/>
    <s v="124 Main St"/>
    <s v="Cash"/>
    <s v="Returned"/>
    <s v="TRK52508861"/>
    <n v="6"/>
    <s v="NOCOUPONCODE"/>
    <s v="Email"/>
    <n v="616.1"/>
  </r>
  <r>
    <s v="ORD200537"/>
    <d v="2025-03-23T00:00:00"/>
    <s v="C68553"/>
    <x v="2"/>
    <x v="4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x v="4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x v="4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x v="0"/>
    <n v="648.65"/>
    <s v="852 Main St"/>
    <s v="Online"/>
    <s v="Pending"/>
    <s v="TRK81765057"/>
    <n v="7"/>
    <s v="NOCOUPONCODE"/>
    <s v="Referral"/>
    <n v="3243.25"/>
  </r>
  <r>
    <s v="ORD200541"/>
    <d v="2023-08-07T00:00:00"/>
    <s v="C69009"/>
    <x v="4"/>
    <x v="0"/>
    <n v="456.06"/>
    <s v="879 Main St"/>
    <s v="Cash"/>
    <s v="Pending"/>
    <s v="TRK61295842"/>
    <n v="10"/>
    <s v="NOCOUPONCODE"/>
    <s v="Instagram"/>
    <n v="2280.3000000000002"/>
  </r>
  <r>
    <s v="ORD200542"/>
    <d v="2023-11-14T00:00:00"/>
    <s v="C49726"/>
    <x v="2"/>
    <x v="2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x v="0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x v="0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x v="1"/>
    <n v="98.47"/>
    <s v="964 Main St"/>
    <s v="Cash"/>
    <s v="Returned"/>
    <s v="TRK74091695"/>
    <n v="3"/>
    <s v="NOCOUPONCODE"/>
    <s v="Instagram"/>
    <n v="196.94"/>
  </r>
  <r>
    <s v="ORD200546"/>
    <d v="2024-03-01T00:00:00"/>
    <s v="C82399"/>
    <x v="0"/>
    <x v="2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x v="2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x v="4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x v="3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x v="3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x v="2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x v="3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x v="1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x v="1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x v="2"/>
    <n v="92.04"/>
    <s v="333 Main St"/>
    <s v="Cash"/>
    <s v="Shipped"/>
    <s v="TRK89306964"/>
    <n v="2"/>
    <s v="NOCOUPONCODE"/>
    <s v="Facebook"/>
    <n v="92.04"/>
  </r>
  <r>
    <s v="ORD200556"/>
    <d v="2023-01-28T00:00:00"/>
    <s v="C30923"/>
    <x v="5"/>
    <x v="2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x v="2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x v="3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x v="4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x v="3"/>
    <n v="588.85"/>
    <s v="524 Main St"/>
    <s v="Gift Card"/>
    <s v="Pending"/>
    <s v="TRK93168008"/>
    <n v="7"/>
    <s v="NOCOUPONCODE"/>
    <s v="Email"/>
    <n v="2355.4"/>
  </r>
  <r>
    <s v="ORD200561"/>
    <d v="2023-01-31T00:00:00"/>
    <s v="C96822"/>
    <x v="4"/>
    <x v="1"/>
    <n v="494.78"/>
    <s v="198 Main St"/>
    <s v="Online"/>
    <s v="Shipped"/>
    <s v="TRK89180077"/>
    <n v="2"/>
    <s v="NOCOUPONCODE"/>
    <s v="Google"/>
    <n v="989.56"/>
  </r>
  <r>
    <s v="ORD200562"/>
    <d v="2023-10-06T00:00:00"/>
    <s v="C76675"/>
    <x v="5"/>
    <x v="4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x v="2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x v="0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x v="0"/>
    <n v="307.98"/>
    <s v="214 Main St"/>
    <s v="Online"/>
    <s v="Pending"/>
    <s v="TRK42605492"/>
    <n v="10"/>
    <s v="NOCOUPONCODE"/>
    <s v="Facebook"/>
    <n v="1539.9"/>
  </r>
  <r>
    <s v="ORD200566"/>
    <d v="2024-04-18T00:00:00"/>
    <s v="C83223"/>
    <x v="1"/>
    <x v="3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x v="0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x v="1"/>
    <n v="343.99"/>
    <s v="312 Main St"/>
    <s v="Online"/>
    <s v="Delivered"/>
    <s v="TRK72334047"/>
    <n v="4"/>
    <s v="NOCOUPONCODE"/>
    <s v="Google"/>
    <n v="687.98"/>
  </r>
  <r>
    <s v="ORD200569"/>
    <d v="2025-03-22T00:00:00"/>
    <s v="C25783"/>
    <x v="6"/>
    <x v="0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x v="1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x v="2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x v="2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x v="0"/>
    <n v="421.42"/>
    <s v="522 Main St"/>
    <s v="Debit Card"/>
    <s v="Cancelled"/>
    <s v="TRK30686578"/>
    <n v="7"/>
    <s v="NOCOUPONCODE"/>
    <s v="Instagram"/>
    <n v="2107.1"/>
  </r>
  <r>
    <s v="ORD200574"/>
    <d v="2024-01-24T00:00:00"/>
    <s v="C29685"/>
    <x v="3"/>
    <x v="0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x v="0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x v="0"/>
    <n v="79.08"/>
    <s v="747 Main St"/>
    <s v="Cash"/>
    <s v="Pending"/>
    <s v="TRK42517811"/>
    <n v="8"/>
    <s v="NOCOUPONCODE"/>
    <s v="Facebook"/>
    <n v="395.4"/>
  </r>
  <r>
    <s v="ORD200577"/>
    <d v="2023-01-22T00:00:00"/>
    <s v="C77046"/>
    <x v="2"/>
    <x v="3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x v="0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x v="1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x v="1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x v="2"/>
    <n v="627.34"/>
    <s v="942 Main St"/>
    <s v="Online"/>
    <s v="Delivered"/>
    <s v="TRK87158684"/>
    <n v="1"/>
    <s v="NOCOUPONCODE"/>
    <s v="Referral"/>
    <n v="627.34"/>
  </r>
  <r>
    <s v="ORD200582"/>
    <d v="2024-02-19T00:00:00"/>
    <s v="C15228"/>
    <x v="2"/>
    <x v="4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x v="4"/>
    <n v="154.37"/>
    <s v="996 Main St"/>
    <s v="Gift Card"/>
    <s v="Delivered"/>
    <s v="TRK29750379"/>
    <n v="4"/>
    <s v="NOCOUPONCODE"/>
    <s v="Instagram"/>
    <n v="463.11"/>
  </r>
  <r>
    <s v="ORD200584"/>
    <d v="2025-03-21T00:00:00"/>
    <s v="C15257"/>
    <x v="3"/>
    <x v="3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x v="3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x v="2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x v="0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x v="3"/>
    <n v="577.82000000000005"/>
    <s v="811 Main St"/>
    <s v="Credit Card"/>
    <s v="Delivered"/>
    <s v="TRK47613918"/>
    <n v="9"/>
    <s v="NOCOUPONCODE"/>
    <s v="Google"/>
    <n v="2311.2800000000002"/>
  </r>
  <r>
    <s v="ORD200589"/>
    <d v="2025-02-10T00:00:00"/>
    <s v="C84041"/>
    <x v="5"/>
    <x v="1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x v="1"/>
    <n v="461.13"/>
    <s v="175 Main St"/>
    <s v="Gift Card"/>
    <s v="Returned"/>
    <s v="TRK27356242"/>
    <n v="4"/>
    <s v="NOCOUPONCODE"/>
    <s v="Email"/>
    <n v="922.26"/>
  </r>
  <r>
    <s v="ORD200591"/>
    <d v="2024-11-18T00:00:00"/>
    <s v="C18187"/>
    <x v="5"/>
    <x v="2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x v="4"/>
    <n v="204.27"/>
    <s v="938 Main St"/>
    <s v="Online"/>
    <s v="Returned"/>
    <s v="TRK15499648"/>
    <n v="4"/>
    <s v="NOCOUPONCODE"/>
    <s v="Google"/>
    <n v="612.80999999999995"/>
  </r>
  <r>
    <s v="ORD200593"/>
    <d v="2023-08-02T00:00:00"/>
    <s v="C51024"/>
    <x v="0"/>
    <x v="2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x v="0"/>
    <n v="72.64"/>
    <s v="598 Main St"/>
    <s v="Credit Card"/>
    <s v="Cancelled"/>
    <s v="TRK12671989"/>
    <n v="7"/>
    <s v="NOCOUPONCODE"/>
    <s v="Email"/>
    <n v="363.2"/>
  </r>
  <r>
    <s v="ORD200595"/>
    <d v="2025-01-10T00:00:00"/>
    <s v="C72596"/>
    <x v="4"/>
    <x v="1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x v="4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x v="1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x v="0"/>
    <n v="495.35"/>
    <s v="826 Main St"/>
    <s v="Credit Card"/>
    <s v="Pending"/>
    <s v="TRK59069987"/>
    <n v="5"/>
    <s v="NOCOUPONCODE"/>
    <s v="Facebook"/>
    <n v="2476.75"/>
  </r>
  <r>
    <s v="ORD200599"/>
    <d v="2023-06-30T00:00:00"/>
    <s v="C28740"/>
    <x v="3"/>
    <x v="4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x v="2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x v="0"/>
    <n v="24.82"/>
    <s v="529 Main St"/>
    <s v="Credit Card"/>
    <s v="Shipped"/>
    <s v="TRK73935314"/>
    <n v="10"/>
    <s v="NOCOUPONCODE"/>
    <s v="Referral"/>
    <n v="124.1"/>
  </r>
  <r>
    <s v="ORD200602"/>
    <d v="2024-03-05T00:00:00"/>
    <s v="C35852"/>
    <x v="2"/>
    <x v="3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x v="2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x v="4"/>
    <n v="32.619999999999997"/>
    <s v="252 Main St"/>
    <s v="Debit Card"/>
    <s v="Delivered"/>
    <s v="TRK81368481"/>
    <n v="6"/>
    <s v="NOCOUPONCODE"/>
    <s v="Facebook"/>
    <n v="97.86"/>
  </r>
  <r>
    <s v="ORD200605"/>
    <d v="2024-05-10T00:00:00"/>
    <s v="C49605"/>
    <x v="0"/>
    <x v="1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x v="4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x v="3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x v="0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x v="4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x v="0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x v="2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x v="4"/>
    <n v="445.12"/>
    <s v="339 Main St"/>
    <s v="Gift Card"/>
    <s v="Cancelled"/>
    <s v="TRK82377939"/>
    <n v="8"/>
    <s v="NOCOUPONCODE"/>
    <s v="Google"/>
    <n v="1335.36"/>
  </r>
  <r>
    <s v="ORD200613"/>
    <d v="2024-12-19T00:00:00"/>
    <s v="C62405"/>
    <x v="5"/>
    <x v="1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x v="2"/>
    <n v="96.81"/>
    <s v="807 Main St"/>
    <s v="Gift Card"/>
    <s v="Cancelled"/>
    <s v="TRK12439827"/>
    <n v="3"/>
    <s v="NOCOUPONCODE"/>
    <s v="Referral"/>
    <n v="96.81"/>
  </r>
  <r>
    <s v="ORD200615"/>
    <d v="2025-03-07T00:00:00"/>
    <s v="C97218"/>
    <x v="0"/>
    <x v="0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x v="4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x v="4"/>
    <n v="184.47"/>
    <s v="834 Main St"/>
    <s v="Online"/>
    <s v="Cancelled"/>
    <s v="TRK75469057"/>
    <n v="4"/>
    <s v="NOCOUPONCODE"/>
    <s v="Referral"/>
    <n v="553.41"/>
  </r>
  <r>
    <s v="ORD200618"/>
    <d v="2024-09-03T00:00:00"/>
    <s v="C50565"/>
    <x v="2"/>
    <x v="2"/>
    <n v="411.34"/>
    <s v="399 Main St"/>
    <s v="Debit Card"/>
    <s v="Returned"/>
    <s v="TRK97981418"/>
    <n v="5"/>
    <s v="NOCOUPONCODE"/>
    <s v="Instagram"/>
    <n v="411.34"/>
  </r>
  <r>
    <s v="ORD200619"/>
    <d v="2024-07-16T00:00:00"/>
    <s v="C38845"/>
    <x v="5"/>
    <x v="2"/>
    <n v="532.89"/>
    <s v="764 Main St"/>
    <s v="Gift Card"/>
    <s v="Pending"/>
    <s v="TRK47637374"/>
    <n v="2"/>
    <s v="NOCOUPONCODE"/>
    <s v="Referral"/>
    <n v="532.89"/>
  </r>
  <r>
    <s v="ORD200620"/>
    <d v="2024-03-27T00:00:00"/>
    <s v="C84834"/>
    <x v="2"/>
    <x v="4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x v="0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x v="0"/>
    <n v="236.38"/>
    <s v="128 Main St"/>
    <s v="Credit Card"/>
    <s v="Returned"/>
    <s v="TRK89314307"/>
    <n v="7"/>
    <s v="NOCOUPONCODE"/>
    <s v="Facebook"/>
    <n v="1181.9000000000001"/>
  </r>
  <r>
    <s v="ORD200623"/>
    <d v="2023-06-16T00:00:00"/>
    <s v="C91941"/>
    <x v="4"/>
    <x v="4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x v="0"/>
    <n v="341.96"/>
    <s v="747 Main St"/>
    <s v="Debit Card"/>
    <s v="Delivered"/>
    <s v="TRK88559278"/>
    <n v="6"/>
    <s v="NOCOUPONCODE"/>
    <s v="Email"/>
    <n v="1709.8"/>
  </r>
  <r>
    <s v="ORD200625"/>
    <d v="2023-09-24T00:00:00"/>
    <s v="C22123"/>
    <x v="2"/>
    <x v="2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x v="1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x v="4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x v="0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x v="4"/>
    <n v="19.73"/>
    <s v="840 Main St"/>
    <s v="Online"/>
    <s v="Pending"/>
    <s v="TRK91836131"/>
    <n v="3"/>
    <s v="NOCOUPONCODE"/>
    <s v="Referral"/>
    <n v="59.19"/>
  </r>
  <r>
    <s v="ORD200630"/>
    <d v="2023-06-23T00:00:00"/>
    <s v="C51481"/>
    <x v="0"/>
    <x v="0"/>
    <n v="248.84"/>
    <s v="140 Main St"/>
    <s v="Debit Card"/>
    <s v="Cancelled"/>
    <s v="TRK33437701"/>
    <n v="10"/>
    <s v="NOCOUPONCODE"/>
    <s v="Instagram"/>
    <n v="1244.2"/>
  </r>
  <r>
    <s v="ORD200631"/>
    <d v="2024-08-31T00:00:00"/>
    <s v="C99128"/>
    <x v="3"/>
    <x v="4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x v="0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x v="0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x v="1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x v="4"/>
    <n v="63.68"/>
    <s v="434 Main St"/>
    <s v="Cash"/>
    <s v="Returned"/>
    <s v="TRK40879983"/>
    <n v="6"/>
    <s v="NOCOUPONCODE"/>
    <s v="Facebook"/>
    <n v="191.04"/>
  </r>
  <r>
    <s v="ORD200636"/>
    <d v="2023-10-05T00:00:00"/>
    <s v="C60384"/>
    <x v="5"/>
    <x v="3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x v="3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x v="3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x v="2"/>
    <n v="529.19000000000005"/>
    <s v="391 Main St"/>
    <s v="Cash"/>
    <s v="Cancelled"/>
    <s v="TRK17415798"/>
    <n v="5"/>
    <s v="NOCOUPONCODE"/>
    <s v="Referral"/>
    <n v="529.19000000000005"/>
  </r>
  <r>
    <s v="ORD200640"/>
    <d v="2024-02-27T00:00:00"/>
    <s v="C46509"/>
    <x v="3"/>
    <x v="1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x v="3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x v="0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x v="2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x v="1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x v="1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x v="3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x v="4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x v="1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x v="1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x v="1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x v="4"/>
    <n v="646.34"/>
    <s v="429 Main St"/>
    <s v="Debit Card"/>
    <s v="Pending"/>
    <s v="TRK76931118"/>
    <n v="5"/>
    <s v="NOCOUPONCODE"/>
    <s v="Google"/>
    <n v="1939.02"/>
  </r>
  <r>
    <s v="ORD200652"/>
    <d v="2024-06-05T00:00:00"/>
    <s v="C71473"/>
    <x v="3"/>
    <x v="0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x v="4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x v="4"/>
    <n v="382.37"/>
    <s v="863 Main St"/>
    <s v="Debit Card"/>
    <s v="Returned"/>
    <s v="TRK25748100"/>
    <n v="8"/>
    <s v="NOCOUPONCODE"/>
    <s v="Instagram"/>
    <n v="1147.1099999999999"/>
  </r>
  <r>
    <s v="ORD200655"/>
    <d v="2023-03-14T00:00:00"/>
    <s v="C22101"/>
    <x v="3"/>
    <x v="1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x v="1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x v="3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x v="1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x v="1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x v="1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x v="4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x v="4"/>
    <n v="438.89"/>
    <s v="985 Main St"/>
    <s v="Cash"/>
    <s v="Returned"/>
    <s v="TRK85744797"/>
    <n v="3"/>
    <s v="NOCOUPONCODE"/>
    <s v="Facebook"/>
    <n v="1316.67"/>
  </r>
  <r>
    <s v="ORD200663"/>
    <d v="2024-04-15T00:00:00"/>
    <s v="C59774"/>
    <x v="0"/>
    <x v="2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x v="3"/>
    <n v="194.75"/>
    <s v="188 Main St"/>
    <s v="Cash"/>
    <s v="Shipped"/>
    <s v="TRK46492755"/>
    <n v="5"/>
    <s v="NOCOUPONCODE"/>
    <s v="Facebook"/>
    <n v="779"/>
  </r>
  <r>
    <s v="ORD200665"/>
    <d v="2023-05-02T00:00:00"/>
    <s v="C83653"/>
    <x v="2"/>
    <x v="3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x v="3"/>
    <n v="327.12"/>
    <s v="788 Main St"/>
    <s v="Credit Card"/>
    <s v="Cancelled"/>
    <s v="TRK45281495"/>
    <n v="4"/>
    <s v="NOCOUPONCODE"/>
    <s v="Email"/>
    <n v="1308.48"/>
  </r>
  <r>
    <s v="ORD200667"/>
    <d v="2023-05-03T00:00:00"/>
    <s v="C10477"/>
    <x v="5"/>
    <x v="2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x v="1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x v="2"/>
    <n v="257"/>
    <s v="812 Main St"/>
    <s v="Debit Card"/>
    <s v="Cancelled"/>
    <s v="TRK65694249"/>
    <n v="5"/>
    <s v="NOCOUPONCODE"/>
    <s v="Referral"/>
    <n v="257"/>
  </r>
  <r>
    <s v="ORD200670"/>
    <d v="2024-04-18T00:00:00"/>
    <s v="C14576"/>
    <x v="6"/>
    <x v="3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x v="0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x v="1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x v="1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x v="3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x v="4"/>
    <n v="342.02"/>
    <s v="906 Main St"/>
    <s v="Debit Card"/>
    <s v="Pending"/>
    <s v="TRK90233116"/>
    <n v="5"/>
    <s v="NOCOUPONCODE"/>
    <s v="Email"/>
    <n v="1026.06"/>
  </r>
  <r>
    <s v="ORD200676"/>
    <d v="2025-06-23T00:00:00"/>
    <s v="C90431"/>
    <x v="5"/>
    <x v="1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x v="0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x v="4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x v="4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x v="4"/>
    <n v="463.39"/>
    <s v="694 Main St"/>
    <s v="Credit Card"/>
    <s v="Returned"/>
    <s v="TRK16953491"/>
    <n v="3"/>
    <s v="NOCOUPONCODE"/>
    <s v="Facebook"/>
    <n v="1390.17"/>
  </r>
  <r>
    <s v="ORD200681"/>
    <d v="2024-01-30T00:00:00"/>
    <s v="C38262"/>
    <x v="2"/>
    <x v="2"/>
    <n v="155.27000000000001"/>
    <s v="548 Main St"/>
    <s v="Debit Card"/>
    <s v="Shipped"/>
    <s v="TRK47300502"/>
    <n v="6"/>
    <s v="NOCOUPONCODE"/>
    <s v="Email"/>
    <n v="155.27000000000001"/>
  </r>
  <r>
    <s v="ORD200682"/>
    <d v="2023-07-23T00:00:00"/>
    <s v="C50274"/>
    <x v="0"/>
    <x v="4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x v="3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x v="3"/>
    <n v="34.840000000000003"/>
    <s v="288 Main St"/>
    <s v="Credit Card"/>
    <s v="Shipped"/>
    <s v="TRK64353241"/>
    <n v="8"/>
    <s v="NOCOUPONCODE"/>
    <s v="Email"/>
    <n v="139.36000000000001"/>
  </r>
  <r>
    <s v="ORD200685"/>
    <d v="2025-02-07T00:00:00"/>
    <s v="C64579"/>
    <x v="6"/>
    <x v="2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x v="4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x v="2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x v="3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x v="1"/>
    <n v="444.84"/>
    <s v="787 Main St"/>
    <s v="Online"/>
    <s v="Shipped"/>
    <s v="TRK56967415"/>
    <n v="7"/>
    <s v="NOCOUPONCODE"/>
    <s v="Facebook"/>
    <n v="889.68"/>
  </r>
  <r>
    <s v="ORD200690"/>
    <d v="2024-07-12T00:00:00"/>
    <s v="C29318"/>
    <x v="0"/>
    <x v="2"/>
    <n v="24.48"/>
    <s v="128 Main St"/>
    <s v="Gift Card"/>
    <s v="Returned"/>
    <s v="TRK88666721"/>
    <n v="1"/>
    <s v="NOCOUPONCODE"/>
    <s v="Instagram"/>
    <n v="24.48"/>
  </r>
  <r>
    <s v="ORD200691"/>
    <d v="2024-11-24T00:00:00"/>
    <s v="C36137"/>
    <x v="5"/>
    <x v="4"/>
    <n v="239.08"/>
    <s v="396 Main St"/>
    <s v="Cash"/>
    <s v="Shipped"/>
    <s v="TRK57376416"/>
    <n v="8"/>
    <s v="NOCOUPONCODE"/>
    <s v="Google"/>
    <n v="717.24"/>
  </r>
  <r>
    <s v="ORD200692"/>
    <d v="2023-01-23T00:00:00"/>
    <s v="C25534"/>
    <x v="6"/>
    <x v="0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x v="2"/>
    <n v="176.58"/>
    <s v="674 Main St"/>
    <s v="Debit Card"/>
    <s v="Returned"/>
    <s v="TRK10267127"/>
    <n v="4"/>
    <s v="NOCOUPONCODE"/>
    <s v="Referral"/>
    <n v="176.58"/>
  </r>
  <r>
    <s v="ORD200694"/>
    <d v="2023-10-02T00:00:00"/>
    <s v="C92049"/>
    <x v="4"/>
    <x v="3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x v="0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x v="3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x v="0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x v="1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x v="4"/>
    <n v="614.15"/>
    <s v="897 Main St"/>
    <s v="Gift Card"/>
    <s v="Cancelled"/>
    <s v="TRK84088900"/>
    <n v="3"/>
    <s v="NOCOUPONCODE"/>
    <s v="Facebook"/>
    <n v="1842.45"/>
  </r>
  <r>
    <s v="ORD200700"/>
    <d v="2024-09-25T00:00:00"/>
    <s v="C40201"/>
    <x v="5"/>
    <x v="1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x v="4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x v="4"/>
    <n v="562.54999999999995"/>
    <s v="154 Main St"/>
    <s v="Debit Card"/>
    <s v="Returned"/>
    <s v="TRK43589369"/>
    <n v="6"/>
    <s v="NOCOUPONCODE"/>
    <s v="Email"/>
    <n v="1687.65"/>
  </r>
  <r>
    <s v="ORD200703"/>
    <d v="2023-03-22T00:00:00"/>
    <s v="C89336"/>
    <x v="6"/>
    <x v="2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x v="3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x v="1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x v="0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x v="3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x v="2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x v="2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x v="0"/>
    <n v="21.54"/>
    <s v="113 Main St"/>
    <s v="Gift Card"/>
    <s v="Returned"/>
    <s v="TRK19086608"/>
    <n v="10"/>
    <s v="NOCOUPONCODE"/>
    <s v="Google"/>
    <n v="107.7"/>
  </r>
  <r>
    <s v="ORD200711"/>
    <d v="2024-07-04T00:00:00"/>
    <s v="C61070"/>
    <x v="2"/>
    <x v="1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x v="1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x v="3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x v="2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x v="4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x v="4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x v="4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x v="3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x v="1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x v="0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x v="1"/>
    <n v="118.59"/>
    <s v="890 Main St"/>
    <s v="Credit Card"/>
    <s v="Delivered"/>
    <s v="TRK56110689"/>
    <n v="2"/>
    <s v="NOCOUPONCODE"/>
    <s v="Email"/>
    <n v="237.18"/>
  </r>
  <r>
    <s v="ORD200722"/>
    <d v="2024-11-15T00:00:00"/>
    <s v="C58156"/>
    <x v="4"/>
    <x v="2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x v="4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x v="4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x v="1"/>
    <n v="194.85"/>
    <s v="372 Main St"/>
    <s v="Gift Card"/>
    <s v="Returned"/>
    <s v="TRK45670926"/>
    <n v="5"/>
    <s v="NOCOUPONCODE"/>
    <s v="Referral"/>
    <n v="389.7"/>
  </r>
  <r>
    <s v="ORD200726"/>
    <d v="2024-10-25T00:00:00"/>
    <s v="C18105"/>
    <x v="5"/>
    <x v="3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x v="0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x v="3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x v="3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x v="2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x v="0"/>
    <n v="584.46"/>
    <s v="308 Main St"/>
    <s v="Credit Card"/>
    <s v="Returned"/>
    <s v="TRK48292586"/>
    <n v="8"/>
    <s v="NOCOUPONCODE"/>
    <s v="Email"/>
    <n v="2922.3"/>
  </r>
  <r>
    <s v="ORD200732"/>
    <d v="2025-03-07T00:00:00"/>
    <s v="C80987"/>
    <x v="5"/>
    <x v="2"/>
    <n v="132.05000000000001"/>
    <s v="787 Main St"/>
    <s v="Online"/>
    <s v="Delivered"/>
    <s v="TRK42187776"/>
    <n v="2"/>
    <s v="NOCOUPONCODE"/>
    <s v="Google"/>
    <n v="132.05000000000001"/>
  </r>
  <r>
    <s v="ORD200733"/>
    <d v="2023-12-04T00:00:00"/>
    <s v="C90757"/>
    <x v="2"/>
    <x v="3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x v="3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x v="3"/>
    <n v="44.07"/>
    <s v="359 Main St"/>
    <s v="Debit Card"/>
    <s v="Pending"/>
    <s v="TRK13443264"/>
    <n v="6"/>
    <s v="NOCOUPONCODE"/>
    <s v="Email"/>
    <n v="176.28"/>
  </r>
  <r>
    <s v="ORD200736"/>
    <d v="2024-02-09T00:00:00"/>
    <s v="C59441"/>
    <x v="0"/>
    <x v="0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x v="3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x v="1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x v="3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x v="1"/>
    <n v="377.47"/>
    <s v="433 Main St"/>
    <s v="Cash"/>
    <s v="Pending"/>
    <s v="TRK76154554"/>
    <n v="7"/>
    <s v="NOCOUPONCODE"/>
    <s v="Google"/>
    <n v="754.94"/>
  </r>
  <r>
    <s v="ORD200741"/>
    <d v="2025-01-23T00:00:00"/>
    <s v="C99683"/>
    <x v="0"/>
    <x v="0"/>
    <n v="332.64"/>
    <s v="945 Main St"/>
    <s v="Gift Card"/>
    <s v="Delivered"/>
    <s v="TRK87305883"/>
    <n v="10"/>
    <s v="NOCOUPONCODE"/>
    <s v="Referral"/>
    <n v="1663.2"/>
  </r>
  <r>
    <s v="ORD200742"/>
    <d v="2024-11-30T00:00:00"/>
    <s v="C41974"/>
    <x v="5"/>
    <x v="4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x v="2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x v="1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x v="3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x v="4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x v="1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x v="4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x v="2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x v="3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x v="1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x v="3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x v="1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x v="1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x v="4"/>
    <n v="336.71"/>
    <s v="658 Main St"/>
    <s v="Credit Card"/>
    <s v="Pending"/>
    <s v="TRK60515972"/>
    <n v="4"/>
    <s v="NOCOUPONCODE"/>
    <s v="Email"/>
    <n v="1010.13"/>
  </r>
  <r>
    <s v="ORD200756"/>
    <d v="2024-06-27T00:00:00"/>
    <s v="C14080"/>
    <x v="1"/>
    <x v="2"/>
    <n v="283.69"/>
    <s v="202 Main St"/>
    <s v="Gift Card"/>
    <s v="Shipped"/>
    <s v="TRK93163682"/>
    <n v="6"/>
    <s v="NOCOUPONCODE"/>
    <s v="Google"/>
    <n v="283.69"/>
  </r>
  <r>
    <s v="ORD200757"/>
    <d v="2024-02-22T00:00:00"/>
    <s v="C81074"/>
    <x v="6"/>
    <x v="2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x v="4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x v="4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x v="2"/>
    <n v="39.56"/>
    <s v="283 Main St"/>
    <s v="Debit Card"/>
    <s v="Cancelled"/>
    <s v="TRK73324346"/>
    <n v="5"/>
    <s v="NOCOUPONCODE"/>
    <s v="Google"/>
    <n v="39.56"/>
  </r>
  <r>
    <s v="ORD200761"/>
    <d v="2023-06-02T00:00:00"/>
    <s v="C37235"/>
    <x v="6"/>
    <x v="3"/>
    <n v="37.76"/>
    <s v="217 Main St"/>
    <s v="Debit Card"/>
    <s v="Delivered"/>
    <s v="TRK67789367"/>
    <n v="7"/>
    <s v="NOCOUPONCODE"/>
    <s v="Google"/>
    <n v="151.04"/>
  </r>
  <r>
    <s v="ORD200762"/>
    <d v="2024-09-17T00:00:00"/>
    <s v="C12444"/>
    <x v="1"/>
    <x v="4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x v="2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x v="0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x v="1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x v="1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x v="1"/>
    <n v="323.22000000000003"/>
    <s v="517 Main St"/>
    <s v="Credit Card"/>
    <s v="Delivered"/>
    <s v="TRK80436037"/>
    <n v="7"/>
    <s v="NOCOUPONCODE"/>
    <s v="Instagram"/>
    <n v="646.44000000000005"/>
  </r>
  <r>
    <s v="ORD200768"/>
    <d v="2023-09-04T00:00:00"/>
    <s v="C35987"/>
    <x v="2"/>
    <x v="0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x v="3"/>
    <n v="678.55"/>
    <s v="568 Main St"/>
    <s v="Cash"/>
    <s v="Delivered"/>
    <s v="TRK98691410"/>
    <n v="5"/>
    <s v="NOCOUPONCODE"/>
    <s v="Email"/>
    <n v="2714.2"/>
  </r>
  <r>
    <s v="ORD200770"/>
    <d v="2024-02-11T00:00:00"/>
    <s v="C72166"/>
    <x v="6"/>
    <x v="2"/>
    <n v="314.38"/>
    <s v="227 Main St"/>
    <s v="Online"/>
    <s v="Returned"/>
    <s v="TRK67733444"/>
    <n v="6"/>
    <s v="NOCOUPONCODE"/>
    <s v="Google"/>
    <n v="314.38"/>
  </r>
  <r>
    <s v="ORD200771"/>
    <d v="2024-06-12T00:00:00"/>
    <s v="C20357"/>
    <x v="1"/>
    <x v="4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x v="2"/>
    <n v="604.87"/>
    <s v="461 Main St"/>
    <s v="Online"/>
    <s v="Delivered"/>
    <s v="TRK25799478"/>
    <n v="4"/>
    <s v="NOCOUPONCODE"/>
    <s v="Instagram"/>
    <n v="604.87"/>
  </r>
  <r>
    <s v="ORD200773"/>
    <d v="2025-06-28T00:00:00"/>
    <s v="C99205"/>
    <x v="1"/>
    <x v="1"/>
    <n v="512.33000000000004"/>
    <s v="415 Main St"/>
    <s v="Cash"/>
    <s v="Cancelled"/>
    <s v="TRK48904015"/>
    <n v="7"/>
    <s v="NOCOUPONCODE"/>
    <s v="Facebook"/>
    <n v="1024.6600000000001"/>
  </r>
  <r>
    <s v="ORD200774"/>
    <d v="2025-04-15T00:00:00"/>
    <s v="C29701"/>
    <x v="3"/>
    <x v="4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x v="1"/>
    <n v="625.22"/>
    <s v="569 Main St"/>
    <s v="Online"/>
    <s v="Cancelled"/>
    <s v="TRK22051900"/>
    <n v="5"/>
    <s v="NOCOUPONCODE"/>
    <s v="Google"/>
    <n v="1250.44"/>
  </r>
  <r>
    <s v="ORD200776"/>
    <d v="2023-08-21T00:00:00"/>
    <s v="C69168"/>
    <x v="2"/>
    <x v="2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x v="0"/>
    <n v="64.489999999999995"/>
    <s v="633 Main St"/>
    <s v="Online"/>
    <s v="Cancelled"/>
    <s v="TRK41967983"/>
    <n v="7"/>
    <s v="NOCOUPONCODE"/>
    <s v="Facebook"/>
    <n v="322.45"/>
  </r>
  <r>
    <s v="ORD200778"/>
    <d v="2023-04-28T00:00:00"/>
    <s v="C85059"/>
    <x v="5"/>
    <x v="3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x v="4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x v="3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x v="0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x v="1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x v="2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x v="2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x v="2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x v="0"/>
    <n v="45.31"/>
    <s v="774 Main St"/>
    <s v="Online"/>
    <s v="Cancelled"/>
    <s v="TRK99583414"/>
    <n v="8"/>
    <s v="NOCOUPONCODE"/>
    <s v="Referral"/>
    <n v="226.55"/>
  </r>
  <r>
    <s v="ORD200787"/>
    <d v="2024-03-17T00:00:00"/>
    <s v="C18167"/>
    <x v="6"/>
    <x v="3"/>
    <n v="221.96"/>
    <s v="193 Main St"/>
    <s v="Cash"/>
    <s v="Delivered"/>
    <s v="TRK36841089"/>
    <n v="7"/>
    <s v="NOCOUPONCODE"/>
    <s v="Google"/>
    <n v="887.84"/>
  </r>
  <r>
    <s v="ORD200788"/>
    <d v="2023-11-02T00:00:00"/>
    <s v="C47307"/>
    <x v="3"/>
    <x v="1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x v="0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x v="3"/>
    <n v="417.89"/>
    <s v="302 Main St"/>
    <s v="Gift Card"/>
    <s v="Pending"/>
    <s v="TRK96636009"/>
    <n v="4"/>
    <s v="NOCOUPONCODE"/>
    <s v="Google"/>
    <n v="1671.56"/>
  </r>
  <r>
    <s v="ORD200791"/>
    <d v="2024-01-13T00:00:00"/>
    <s v="C49710"/>
    <x v="3"/>
    <x v="3"/>
    <n v="409.28"/>
    <s v="956 Main St"/>
    <s v="Cash"/>
    <s v="Pending"/>
    <s v="TRK92591237"/>
    <n v="8"/>
    <s v="NOCOUPONCODE"/>
    <s v="Email"/>
    <n v="1637.12"/>
  </r>
  <r>
    <s v="ORD200792"/>
    <d v="2023-06-16T00:00:00"/>
    <s v="C41709"/>
    <x v="6"/>
    <x v="1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x v="0"/>
    <n v="170.22"/>
    <s v="769 Main St"/>
    <s v="Debit Card"/>
    <s v="Delivered"/>
    <s v="TRK69599961"/>
    <n v="8"/>
    <s v="NOCOUPONCODE"/>
    <s v="Referral"/>
    <n v="851.1"/>
  </r>
  <r>
    <s v="ORD200794"/>
    <d v="2023-03-09T00:00:00"/>
    <s v="C76653"/>
    <x v="4"/>
    <x v="3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x v="3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x v="4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x v="1"/>
    <n v="438.76"/>
    <s v="426 Main St"/>
    <s v="Debit Card"/>
    <s v="Returned"/>
    <s v="TRK72557318"/>
    <n v="2"/>
    <s v="NOCOUPONCODE"/>
    <s v="Facebook"/>
    <n v="877.52"/>
  </r>
  <r>
    <s v="ORD200798"/>
    <d v="2025-05-19T00:00:00"/>
    <s v="C20861"/>
    <x v="1"/>
    <x v="0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x v="3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x v="2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x v="3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x v="0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x v="0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x v="4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x v="0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x v="0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x v="4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x v="4"/>
    <n v="134.05000000000001"/>
    <s v="192 Main St"/>
    <s v="Credit Card"/>
    <s v="Shipped"/>
    <s v="TRK80383756"/>
    <n v="3"/>
    <s v="NOCOUPONCODE"/>
    <s v="Google"/>
    <n v="402.15"/>
  </r>
  <r>
    <s v="ORD200809"/>
    <d v="2024-04-09T00:00:00"/>
    <s v="C80416"/>
    <x v="6"/>
    <x v="0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x v="2"/>
    <n v="553.55999999999995"/>
    <s v="644 Main St"/>
    <s v="Credit Card"/>
    <s v="Cancelled"/>
    <s v="TRK16749863"/>
    <n v="5"/>
    <s v="NOCOUPONCODE"/>
    <s v="Referral"/>
    <n v="553.55999999999995"/>
  </r>
  <r>
    <s v="ORD200811"/>
    <d v="2023-11-05T00:00:00"/>
    <s v="C24769"/>
    <x v="5"/>
    <x v="1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x v="1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x v="0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x v="3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x v="4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x v="0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x v="3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x v="3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x v="1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x v="0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x v="3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x v="2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x v="3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x v="4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x v="0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x v="4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x v="1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x v="3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x v="2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x v="3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x v="1"/>
    <n v="88.73"/>
    <s v="140 Main St"/>
    <s v="Online"/>
    <s v="Pending"/>
    <s v="TRK61346824"/>
    <n v="5"/>
    <s v="NOCOUPONCODE"/>
    <s v="Google"/>
    <n v="177.46"/>
  </r>
  <r>
    <s v="ORD200832"/>
    <d v="2024-03-12T00:00:00"/>
    <s v="C63372"/>
    <x v="3"/>
    <x v="0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x v="0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x v="0"/>
    <n v="22.14"/>
    <s v="456 Main St"/>
    <s v="Cash"/>
    <s v="Returned"/>
    <s v="TRK22084320"/>
    <n v="10"/>
    <s v="NOCOUPONCODE"/>
    <s v="Instagram"/>
    <n v="110.7"/>
  </r>
  <r>
    <s v="ORD200835"/>
    <d v="2024-03-26T00:00:00"/>
    <s v="C16429"/>
    <x v="6"/>
    <x v="2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x v="2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x v="0"/>
    <n v="655.55"/>
    <s v="282 Main St"/>
    <s v="Online"/>
    <s v="Delivered"/>
    <s v="TRK59701278"/>
    <n v="5"/>
    <s v="NOCOUPONCODE"/>
    <s v="Email"/>
    <n v="3277.75"/>
  </r>
  <r>
    <s v="ORD200838"/>
    <d v="2024-04-11T00:00:00"/>
    <s v="C57798"/>
    <x v="6"/>
    <x v="3"/>
    <n v="577.08000000000004"/>
    <s v="384 Main St"/>
    <s v="Online"/>
    <s v="Pending"/>
    <s v="TRK68797566"/>
    <n v="8"/>
    <s v="NOCOUPONCODE"/>
    <s v="Facebook"/>
    <n v="2308.3200000000002"/>
  </r>
  <r>
    <s v="ORD200839"/>
    <d v="2023-08-24T00:00:00"/>
    <s v="C82858"/>
    <x v="3"/>
    <x v="4"/>
    <n v="197.97"/>
    <s v="551 Main St"/>
    <s v="Online"/>
    <s v="Cancelled"/>
    <s v="TRK90618490"/>
    <n v="5"/>
    <s v="NOCOUPONCODE"/>
    <s v="Google"/>
    <n v="593.91"/>
  </r>
  <r>
    <s v="ORD200840"/>
    <d v="2024-01-14T00:00:00"/>
    <s v="C60699"/>
    <x v="3"/>
    <x v="4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x v="1"/>
    <n v="443.22"/>
    <s v="742 Main St"/>
    <s v="Credit Card"/>
    <s v="Delivered"/>
    <s v="TRK51732528"/>
    <n v="5"/>
    <s v="NOCOUPONCODE"/>
    <s v="Facebook"/>
    <n v="886.44"/>
  </r>
  <r>
    <s v="ORD200842"/>
    <d v="2025-05-07T00:00:00"/>
    <s v="C78305"/>
    <x v="5"/>
    <x v="4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x v="4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x v="2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x v="4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x v="1"/>
    <n v="359.86"/>
    <s v="646 Main St"/>
    <s v="Debit Card"/>
    <s v="Cancelled"/>
    <s v="TRK43977698"/>
    <n v="4"/>
    <s v="NOCOUPONCODE"/>
    <s v="Referral"/>
    <n v="719.72"/>
  </r>
  <r>
    <s v="ORD200847"/>
    <d v="2024-11-18T00:00:00"/>
    <s v="C48176"/>
    <x v="4"/>
    <x v="3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x v="1"/>
    <n v="645.85"/>
    <s v="634 Main St"/>
    <s v="Online"/>
    <s v="Shipped"/>
    <s v="TRK18049633"/>
    <n v="5"/>
    <s v="NOCOUPONCODE"/>
    <s v="Referral"/>
    <n v="1291.7"/>
  </r>
  <r>
    <s v="ORD200849"/>
    <d v="2025-06-09T00:00:00"/>
    <s v="C16675"/>
    <x v="4"/>
    <x v="3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x v="4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x v="2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x v="4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x v="4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x v="4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x v="0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x v="2"/>
    <n v="586.62"/>
    <s v="871 Main St"/>
    <s v="Debit Card"/>
    <s v="Shipped"/>
    <s v="TRK95768773"/>
    <n v="5"/>
    <s v="NOCOUPONCODE"/>
    <s v="Facebook"/>
    <n v="586.62"/>
  </r>
  <r>
    <s v="ORD200857"/>
    <d v="2024-03-10T00:00:00"/>
    <s v="C56506"/>
    <x v="1"/>
    <x v="4"/>
    <n v="257.83999999999997"/>
    <s v="185 Main St"/>
    <s v="Online"/>
    <s v="Delivered"/>
    <s v="TRK86808324"/>
    <n v="4"/>
    <s v="NOCOUPONCODE"/>
    <s v="Instagram"/>
    <n v="773.52"/>
  </r>
  <r>
    <s v="ORD200858"/>
    <d v="2023-08-20T00:00:00"/>
    <s v="C22167"/>
    <x v="2"/>
    <x v="0"/>
    <n v="435.66"/>
    <s v="891 Main St"/>
    <s v="Online"/>
    <s v="Pending"/>
    <s v="TRK70269748"/>
    <n v="9"/>
    <s v="NOCOUPONCODE"/>
    <s v="Facebook"/>
    <n v="2178.3000000000002"/>
  </r>
  <r>
    <s v="ORD200859"/>
    <d v="2024-08-28T00:00:00"/>
    <s v="C11127"/>
    <x v="3"/>
    <x v="0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x v="2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x v="0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x v="4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x v="2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x v="2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x v="3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x v="0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x v="3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x v="3"/>
    <n v="316.32"/>
    <s v="309 Main St"/>
    <s v="Debit Card"/>
    <s v="Delivered"/>
    <s v="TRK42985882"/>
    <n v="7"/>
    <s v="NOCOUPONCODE"/>
    <s v="Facebook"/>
    <n v="1265.28"/>
  </r>
  <r>
    <s v="ORD200869"/>
    <d v="2024-03-17T00:00:00"/>
    <s v="C29905"/>
    <x v="6"/>
    <x v="1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x v="3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x v="4"/>
    <n v="324.3"/>
    <s v="720 Main St"/>
    <s v="Debit Card"/>
    <s v="Pending"/>
    <s v="TRK22024707"/>
    <n v="8"/>
    <s v="FREESHIP"/>
    <s v="Email"/>
    <n v="972.9"/>
  </r>
  <r>
    <s v="ORD200872"/>
    <d v="2023-07-10T00:00:00"/>
    <s v="C59169"/>
    <x v="3"/>
    <x v="3"/>
    <n v="629.34"/>
    <s v="172 Main St"/>
    <s v="Cash"/>
    <s v="Shipped"/>
    <s v="TRK90883858"/>
    <n v="7"/>
    <s v="NOCOUPONCODE"/>
    <s v="Email"/>
    <n v="2517.36"/>
  </r>
  <r>
    <s v="ORD200873"/>
    <d v="2024-05-12T00:00:00"/>
    <s v="C53488"/>
    <x v="6"/>
    <x v="4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x v="1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x v="0"/>
    <n v="133.38999999999999"/>
    <s v="203 Main St"/>
    <s v="Credit Card"/>
    <s v="Delivered"/>
    <s v="TRK66473392"/>
    <n v="6"/>
    <s v="FREESHIP"/>
    <s v="Referral"/>
    <n v="666.95"/>
  </r>
  <r>
    <s v="ORD200876"/>
    <d v="2024-06-09T00:00:00"/>
    <s v="C90363"/>
    <x v="3"/>
    <x v="0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x v="2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x v="1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x v="1"/>
    <n v="547.66999999999996"/>
    <s v="932 Main St"/>
    <s v="Gift Card"/>
    <s v="Shipped"/>
    <s v="TRK86373987"/>
    <n v="3"/>
    <s v="NOCOUPONCODE"/>
    <s v="Instagram"/>
    <n v="1095.3399999999999"/>
  </r>
  <r>
    <s v="ORD200880"/>
    <d v="2025-03-12T00:00:00"/>
    <s v="C85074"/>
    <x v="5"/>
    <x v="3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x v="1"/>
    <n v="448.85"/>
    <s v="386 Main St"/>
    <s v="Credit Card"/>
    <s v="Pending"/>
    <s v="TRK48000034"/>
    <n v="6"/>
    <s v="NOCOUPONCODE"/>
    <s v="Instagram"/>
    <n v="897.7"/>
  </r>
  <r>
    <s v="ORD200882"/>
    <d v="2025-06-28T00:00:00"/>
    <s v="C43335"/>
    <x v="1"/>
    <x v="1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x v="0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x v="2"/>
    <n v="595.54"/>
    <s v="817 Main St"/>
    <s v="Gift Card"/>
    <s v="Shipped"/>
    <s v="TRK52137079"/>
    <n v="4"/>
    <s v="NOCOUPONCODE"/>
    <s v="Instagram"/>
    <n v="595.54"/>
  </r>
  <r>
    <s v="ORD200885"/>
    <d v="2024-04-07T00:00:00"/>
    <s v="C61090"/>
    <x v="5"/>
    <x v="3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x v="2"/>
    <n v="460.13"/>
    <s v="792 Main St"/>
    <s v="Credit Card"/>
    <s v="Returned"/>
    <s v="TRK22046456"/>
    <n v="1"/>
    <s v="NOCOUPONCODE"/>
    <s v="Google"/>
    <n v="460.13"/>
  </r>
  <r>
    <s v="ORD200887"/>
    <d v="2024-12-19T00:00:00"/>
    <s v="C67932"/>
    <x v="3"/>
    <x v="4"/>
    <n v="171.66"/>
    <s v="857 Main St"/>
    <s v="Debit Card"/>
    <s v="Delivered"/>
    <s v="TRK88547534"/>
    <n v="7"/>
    <s v="NOCOUPONCODE"/>
    <s v="Google"/>
    <n v="514.98"/>
  </r>
  <r>
    <s v="ORD200888"/>
    <d v="2024-07-23T00:00:00"/>
    <s v="C14427"/>
    <x v="5"/>
    <x v="1"/>
    <n v="266.95"/>
    <s v="833 Main St"/>
    <s v="Credit Card"/>
    <s v="Pending"/>
    <s v="TRK58024529"/>
    <n v="3"/>
    <s v="NOCOUPONCODE"/>
    <s v="Instagram"/>
    <n v="533.9"/>
  </r>
  <r>
    <s v="ORD200889"/>
    <d v="2024-10-27T00:00:00"/>
    <s v="C36725"/>
    <x v="0"/>
    <x v="0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x v="4"/>
    <n v="439.53"/>
    <s v="943 Main St"/>
    <s v="Debit Card"/>
    <s v="Pending"/>
    <s v="TRK85741716"/>
    <n v="5"/>
    <s v="NOCOUPONCODE"/>
    <s v="Google"/>
    <n v="1318.59"/>
  </r>
  <r>
    <s v="ORD200891"/>
    <d v="2023-11-11T00:00:00"/>
    <s v="C36534"/>
    <x v="0"/>
    <x v="4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x v="2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x v="2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x v="4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x v="4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x v="4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x v="3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x v="4"/>
    <n v="158.37"/>
    <s v="742 Main St"/>
    <s v="Cash"/>
    <s v="Shipped"/>
    <s v="TRK66662528"/>
    <n v="6"/>
    <s v="NOCOUPONCODE"/>
    <s v="Referral"/>
    <n v="475.11"/>
  </r>
  <r>
    <s v="ORD200899"/>
    <d v="2025-04-23T00:00:00"/>
    <s v="C99904"/>
    <x v="4"/>
    <x v="1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x v="0"/>
    <n v="73.83"/>
    <s v="991 Main St"/>
    <s v="Debit Card"/>
    <s v="Pending"/>
    <s v="TRK67342586"/>
    <n v="9"/>
    <s v="NOCOUPONCODE"/>
    <s v="Instagram"/>
    <n v="369.15"/>
  </r>
  <r>
    <s v="ORD200901"/>
    <d v="2024-04-28T00:00:00"/>
    <s v="C44277"/>
    <x v="2"/>
    <x v="2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x v="3"/>
    <n v="180.25"/>
    <s v="813 Main St"/>
    <s v="Debit Card"/>
    <s v="Cancelled"/>
    <s v="TRK76712124"/>
    <n v="7"/>
    <s v="NOCOUPONCODE"/>
    <s v="Facebook"/>
    <n v="721"/>
  </r>
  <r>
    <s v="ORD200903"/>
    <d v="2023-05-17T00:00:00"/>
    <s v="C80868"/>
    <x v="0"/>
    <x v="4"/>
    <n v="473.49"/>
    <s v="205 Main St"/>
    <s v="Credit Card"/>
    <s v="Pending"/>
    <s v="TRK56186636"/>
    <n v="7"/>
    <s v="NOCOUPONCODE"/>
    <s v="Email"/>
    <n v="1420.47"/>
  </r>
  <r>
    <s v="ORD200904"/>
    <d v="2025-02-05T00:00:00"/>
    <s v="C16693"/>
    <x v="0"/>
    <x v="3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x v="2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x v="2"/>
    <n v="62.12"/>
    <s v="141 Main St"/>
    <s v="Cash"/>
    <s v="Returned"/>
    <s v="TRK80175572"/>
    <n v="2"/>
    <s v="NOCOUPONCODE"/>
    <s v="Email"/>
    <n v="62.12"/>
  </r>
  <r>
    <s v="ORD200907"/>
    <d v="2024-08-04T00:00:00"/>
    <s v="C90898"/>
    <x v="6"/>
    <x v="0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x v="1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x v="1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x v="4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x v="0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x v="1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x v="0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x v="2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x v="3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x v="0"/>
    <n v="578.83000000000004"/>
    <s v="165 Main St"/>
    <s v="Cash"/>
    <s v="Returned"/>
    <s v="TRK13928455"/>
    <n v="6"/>
    <s v="NOCOUPONCODE"/>
    <s v="Referral"/>
    <n v="2894.15"/>
  </r>
  <r>
    <s v="ORD200917"/>
    <d v="2025-01-20T00:00:00"/>
    <s v="C65524"/>
    <x v="5"/>
    <x v="0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x v="0"/>
    <n v="368.25"/>
    <s v="706 Main St"/>
    <s v="Online"/>
    <s v="Delivered"/>
    <s v="TRK18250450"/>
    <n v="5"/>
    <s v="NOCOUPONCODE"/>
    <s v="Instagram"/>
    <n v="1841.25"/>
  </r>
  <r>
    <s v="ORD200919"/>
    <d v="2025-02-07T00:00:00"/>
    <s v="C92086"/>
    <x v="4"/>
    <x v="1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x v="1"/>
    <n v="428.09"/>
    <s v="978 Main St"/>
    <s v="Credit Card"/>
    <s v="Returned"/>
    <s v="TRK98110407"/>
    <n v="6"/>
    <s v="NOCOUPONCODE"/>
    <s v="Instagram"/>
    <n v="856.18"/>
  </r>
  <r>
    <s v="ORD200921"/>
    <d v="2023-07-24T00:00:00"/>
    <s v="C90573"/>
    <x v="2"/>
    <x v="2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x v="1"/>
    <n v="563.82000000000005"/>
    <s v="487 Main St"/>
    <s v="Credit Card"/>
    <s v="Pending"/>
    <s v="TRK79737732"/>
    <n v="3"/>
    <s v="NOCOUPONCODE"/>
    <s v="Instagram"/>
    <n v="1127.6400000000001"/>
  </r>
  <r>
    <s v="ORD200923"/>
    <d v="2023-02-11T00:00:00"/>
    <s v="C91582"/>
    <x v="4"/>
    <x v="4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x v="0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x v="0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x v="2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x v="3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x v="4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x v="1"/>
    <n v="536.25"/>
    <s v="553 Main St"/>
    <s v="Debit Card"/>
    <s v="Pending"/>
    <s v="TRK71803414"/>
    <n v="3"/>
    <s v="NOCOUPONCODE"/>
    <s v="Email"/>
    <n v="1072.5"/>
  </r>
  <r>
    <s v="ORD200930"/>
    <d v="2024-12-16T00:00:00"/>
    <s v="C59554"/>
    <x v="1"/>
    <x v="1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x v="1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x v="1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x v="1"/>
    <n v="394.16"/>
    <s v="255 Main St"/>
    <s v="Online"/>
    <s v="Shipped"/>
    <s v="TRK43718093"/>
    <n v="2"/>
    <s v="NOCOUPONCODE"/>
    <s v="Referral"/>
    <n v="788.32"/>
  </r>
  <r>
    <s v="ORD200934"/>
    <d v="2025-06-01T00:00:00"/>
    <s v="C40304"/>
    <x v="5"/>
    <x v="3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x v="4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x v="3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x v="1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x v="4"/>
    <n v="331.46"/>
    <s v="696 Main St"/>
    <s v="Credit Card"/>
    <s v="Cancelled"/>
    <s v="TRK91155214"/>
    <n v="6"/>
    <s v="WINTER15"/>
    <s v="Referral"/>
    <n v="994.38"/>
  </r>
  <r>
    <s v="ORD200939"/>
    <d v="2025-04-16T00:00:00"/>
    <s v="C48510"/>
    <x v="5"/>
    <x v="1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x v="3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x v="0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x v="2"/>
    <n v="479.76"/>
    <s v="882 Main St"/>
    <s v="Credit Card"/>
    <s v="Pending"/>
    <s v="TRK56070470"/>
    <n v="1"/>
    <s v="NOCOUPONCODE"/>
    <s v="Email"/>
    <n v="479.76"/>
  </r>
  <r>
    <s v="ORD200943"/>
    <d v="2023-12-27T00:00:00"/>
    <s v="C43330"/>
    <x v="0"/>
    <x v="4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x v="1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x v="0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x v="1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x v="3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x v="1"/>
    <n v="594.07000000000005"/>
    <s v="739 Main St"/>
    <s v="Gift Card"/>
    <s v="Cancelled"/>
    <s v="TRK79269291"/>
    <n v="2"/>
    <s v="NOCOUPONCODE"/>
    <s v="Google"/>
    <n v="1188.1400000000001"/>
  </r>
  <r>
    <s v="ORD200949"/>
    <d v="2023-11-09T00:00:00"/>
    <s v="C55778"/>
    <x v="6"/>
    <x v="0"/>
    <n v="110.38"/>
    <s v="319 Main St"/>
    <s v="Cash"/>
    <s v="Pending"/>
    <s v="TRK93797108"/>
    <n v="10"/>
    <s v="NOCOUPONCODE"/>
    <s v="Referral"/>
    <n v="551.9"/>
  </r>
  <r>
    <s v="ORD200950"/>
    <d v="2024-05-31T00:00:00"/>
    <s v="C19722"/>
    <x v="5"/>
    <x v="2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x v="1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x v="4"/>
    <n v="503.39"/>
    <s v="225 Main St"/>
    <s v="Online"/>
    <s v="Pending"/>
    <s v="TRK45303393"/>
    <n v="5"/>
    <s v="NOCOUPONCODE"/>
    <s v="Facebook"/>
    <n v="1510.17"/>
  </r>
  <r>
    <s v="ORD200953"/>
    <d v="2023-02-06T00:00:00"/>
    <s v="C43721"/>
    <x v="1"/>
    <x v="2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x v="4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x v="2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x v="1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x v="0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x v="4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x v="1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x v="4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x v="2"/>
    <n v="601.36"/>
    <s v="532 Main St"/>
    <s v="Online"/>
    <s v="Shipped"/>
    <s v="TRK81178598"/>
    <n v="1"/>
    <s v="NOCOUPONCODE"/>
    <s v="Facebook"/>
    <n v="601.36"/>
  </r>
  <r>
    <s v="ORD200962"/>
    <d v="2024-09-06T00:00:00"/>
    <s v="C12459"/>
    <x v="1"/>
    <x v="1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x v="0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x v="0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x v="3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x v="0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x v="0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x v="3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x v="2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x v="2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x v="1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x v="2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x v="0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x v="0"/>
    <n v="266.77999999999997"/>
    <s v="274 Main St"/>
    <s v="Gift Card"/>
    <s v="Cancelled"/>
    <s v="TRK52088168"/>
    <n v="5"/>
    <s v="NOCOUPONCODE"/>
    <s v="Email"/>
    <n v="1333.9"/>
  </r>
  <r>
    <s v="ORD200975"/>
    <d v="2023-05-18T00:00:00"/>
    <s v="C70529"/>
    <x v="6"/>
    <x v="2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x v="4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x v="3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x v="3"/>
    <n v="107.49"/>
    <s v="993 Main St"/>
    <s v="Cash"/>
    <s v="Delivered"/>
    <s v="TRK61047536"/>
    <n v="5"/>
    <s v="NOCOUPONCODE"/>
    <s v="Google"/>
    <n v="429.96"/>
  </r>
  <r>
    <s v="ORD200979"/>
    <d v="2023-05-31T00:00:00"/>
    <s v="C75018"/>
    <x v="0"/>
    <x v="4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x v="4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x v="3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x v="2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x v="3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x v="2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x v="2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x v="3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x v="0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x v="1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x v="3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x v="1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x v="0"/>
    <n v="127.18"/>
    <s v="598 Main St"/>
    <s v="Debit Card"/>
    <s v="Cancelled"/>
    <s v="TRK68938335"/>
    <n v="10"/>
    <s v="FREESHIP"/>
    <s v="Google"/>
    <n v="635.9"/>
  </r>
  <r>
    <s v="ORD200992"/>
    <d v="2024-08-27T00:00:00"/>
    <s v="C97907"/>
    <x v="4"/>
    <x v="4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x v="4"/>
    <n v="267.45"/>
    <s v="576 Main St"/>
    <s v="Gift Card"/>
    <s v="Delivered"/>
    <s v="TRK33323210"/>
    <n v="5"/>
    <s v="WINTER15"/>
    <s v="Instagram"/>
    <n v="802.35"/>
  </r>
  <r>
    <s v="ORD200994"/>
    <d v="2024-06-27T00:00:00"/>
    <s v="C27613"/>
    <x v="2"/>
    <x v="3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x v="1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x v="3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x v="4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x v="1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x v="2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x v="0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x v="1"/>
    <n v="253.68"/>
    <s v="122 Main St"/>
    <s v="Gift Card"/>
    <s v="Shipped"/>
    <s v="TRK19554327"/>
    <n v="6"/>
    <s v="NOCOUPONCODE"/>
    <s v="Referral"/>
    <n v="507.36"/>
  </r>
  <r>
    <s v="ORD201002"/>
    <d v="2025-06-19T00:00:00"/>
    <s v="C83911"/>
    <x v="2"/>
    <x v="3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x v="0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x v="3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x v="4"/>
    <n v="392.85"/>
    <s v="426 Main St"/>
    <s v="Credit Card"/>
    <s v="Returned"/>
    <s v="TRK11448295"/>
    <n v="6"/>
    <s v="NOCOUPONCODE"/>
    <s v="Google"/>
    <n v="1178.55"/>
  </r>
  <r>
    <s v="ORD201006"/>
    <d v="2024-05-27T00:00:00"/>
    <s v="C27435"/>
    <x v="2"/>
    <x v="0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x v="1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x v="4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x v="1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x v="4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x v="1"/>
    <n v="478.36"/>
    <s v="654 Main St"/>
    <s v="Online"/>
    <s v="Shipped"/>
    <s v="TRK22271097"/>
    <n v="3"/>
    <s v="NOCOUPONCODE"/>
    <s v="Google"/>
    <n v="956.72"/>
  </r>
  <r>
    <s v="ORD201012"/>
    <d v="2024-12-03T00:00:00"/>
    <s v="C84570"/>
    <x v="4"/>
    <x v="3"/>
    <n v="30.05"/>
    <s v="301 Main St"/>
    <s v="Online"/>
    <s v="Returned"/>
    <s v="TRK12551882"/>
    <n v="6"/>
    <s v="NOCOUPONCODE"/>
    <s v="Facebook"/>
    <n v="120.2"/>
  </r>
  <r>
    <s v="ORD201013"/>
    <d v="2025-04-26T00:00:00"/>
    <s v="C91123"/>
    <x v="5"/>
    <x v="3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x v="0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x v="1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x v="0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x v="1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x v="4"/>
    <n v="182.48"/>
    <s v="209 Main St"/>
    <s v="Cash"/>
    <s v="Delivered"/>
    <s v="TRK20703086"/>
    <n v="3"/>
    <s v="NOCOUPONCODE"/>
    <s v="Instagram"/>
    <n v="547.44000000000005"/>
  </r>
  <r>
    <s v="ORD201019"/>
    <d v="2024-04-06T00:00:00"/>
    <s v="C28386"/>
    <x v="6"/>
    <x v="2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x v="1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x v="4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x v="4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x v="0"/>
    <n v="233.67"/>
    <s v="291 Main St"/>
    <s v="Cash"/>
    <s v="Shipped"/>
    <s v="TRK32059025"/>
    <n v="10"/>
    <s v="NOCOUPONCODE"/>
    <s v="Referral"/>
    <n v="1168.3499999999999"/>
  </r>
  <r>
    <s v="ORD201024"/>
    <d v="2024-01-29T00:00:00"/>
    <s v="C90612"/>
    <x v="3"/>
    <x v="4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x v="2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x v="2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x v="3"/>
    <n v="554.83000000000004"/>
    <s v="983 Main St"/>
    <s v="Cash"/>
    <s v="Returned"/>
    <s v="TRK77377373"/>
    <n v="6"/>
    <s v="NOCOUPONCODE"/>
    <s v="Google"/>
    <n v="2219.3200000000002"/>
  </r>
  <r>
    <s v="ORD201028"/>
    <d v="2023-02-17T00:00:00"/>
    <s v="C60042"/>
    <x v="6"/>
    <x v="3"/>
    <n v="440.31"/>
    <s v="610 Main St"/>
    <s v="Cash"/>
    <s v="Cancelled"/>
    <s v="TRK84651559"/>
    <n v="6"/>
    <s v="NOCOUPONCODE"/>
    <s v="Instagram"/>
    <n v="1761.24"/>
  </r>
  <r>
    <s v="ORD201029"/>
    <d v="2025-03-01T00:00:00"/>
    <s v="C44733"/>
    <x v="6"/>
    <x v="2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x v="3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x v="0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x v="2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x v="2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x v="3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x v="3"/>
    <n v="506.11"/>
    <s v="911 Main St"/>
    <s v="Cash"/>
    <s v="Cancelled"/>
    <s v="TRK97732085"/>
    <n v="5"/>
    <s v="NOCOUPONCODE"/>
    <s v="Referral"/>
    <n v="2024.44"/>
  </r>
  <r>
    <s v="ORD201036"/>
    <d v="2024-05-31T00:00:00"/>
    <s v="C98278"/>
    <x v="1"/>
    <x v="4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x v="2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x v="4"/>
    <n v="362.53"/>
    <s v="422 Main St"/>
    <s v="Debit Card"/>
    <s v="Returned"/>
    <s v="TRK28969024"/>
    <n v="5"/>
    <s v="NOCOUPONCODE"/>
    <s v="Facebook"/>
    <n v="1087.5899999999999"/>
  </r>
  <r>
    <s v="ORD201039"/>
    <d v="2025-06-28T00:00:00"/>
    <s v="C49137"/>
    <x v="6"/>
    <x v="1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x v="2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x v="3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x v="1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x v="1"/>
    <n v="179.96"/>
    <s v="675 Main St"/>
    <s v="Gift Card"/>
    <s v="Shipped"/>
    <s v="TRK94346739"/>
    <n v="5"/>
    <s v="NOCOUPONCODE"/>
    <s v="Instagram"/>
    <n v="359.92"/>
  </r>
  <r>
    <s v="ORD201044"/>
    <d v="2025-06-22T00:00:00"/>
    <s v="C63018"/>
    <x v="4"/>
    <x v="2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x v="0"/>
    <n v="316.39999999999998"/>
    <s v="671 Main St"/>
    <s v="Gift Card"/>
    <s v="Returned"/>
    <s v="TRK72012758"/>
    <n v="7"/>
    <s v="NOCOUPONCODE"/>
    <s v="Email"/>
    <n v="1582"/>
  </r>
  <r>
    <s v="ORD201046"/>
    <d v="2024-10-07T00:00:00"/>
    <s v="C85421"/>
    <x v="2"/>
    <x v="4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x v="3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x v="3"/>
    <n v="73.650000000000006"/>
    <s v="889 Main St"/>
    <s v="Debit Card"/>
    <s v="Shipped"/>
    <s v="TRK21153699"/>
    <n v="9"/>
    <s v="NOCOUPONCODE"/>
    <s v="Google"/>
    <n v="294.60000000000002"/>
  </r>
  <r>
    <s v="ORD201049"/>
    <d v="2024-07-18T00:00:00"/>
    <s v="C60575"/>
    <x v="6"/>
    <x v="0"/>
    <n v="391.86"/>
    <s v="587 Main St"/>
    <s v="Credit Card"/>
    <s v="Shipped"/>
    <s v="TRK44468232"/>
    <n v="6"/>
    <s v="NOCOUPONCODE"/>
    <s v="Instagram"/>
    <n v="1959.3"/>
  </r>
  <r>
    <s v="ORD201050"/>
    <d v="2023-08-20T00:00:00"/>
    <s v="C70659"/>
    <x v="5"/>
    <x v="0"/>
    <n v="69.7"/>
    <s v="722 Main St"/>
    <s v="Online"/>
    <s v="Returned"/>
    <s v="TRK49663597"/>
    <n v="9"/>
    <s v="NOCOUPONCODE"/>
    <s v="Instagram"/>
    <n v="348.5"/>
  </r>
  <r>
    <s v="ORD201051"/>
    <d v="2025-03-05T00:00:00"/>
    <s v="C35043"/>
    <x v="0"/>
    <x v="0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x v="2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x v="1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x v="2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x v="3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x v="1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x v="4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x v="1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x v="2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x v="1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x v="0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x v="0"/>
    <n v="85.52"/>
    <s v="301 Main St"/>
    <s v="Gift Card"/>
    <s v="Cancelled"/>
    <s v="TRK65149372"/>
    <n v="5"/>
    <s v="NOCOUPONCODE"/>
    <s v="Facebook"/>
    <n v="427.6"/>
  </r>
  <r>
    <s v="ORD201063"/>
    <d v="2024-06-19T00:00:00"/>
    <s v="C42108"/>
    <x v="6"/>
    <x v="1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x v="3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x v="0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x v="2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x v="1"/>
    <n v="316.2"/>
    <s v="384 Main St"/>
    <s v="Online"/>
    <s v="Returned"/>
    <s v="TRK37426359"/>
    <n v="2"/>
    <s v="NOCOUPONCODE"/>
    <s v="Instagram"/>
    <n v="632.4"/>
  </r>
  <r>
    <s v="ORD201068"/>
    <d v="2024-08-03T00:00:00"/>
    <s v="C29914"/>
    <x v="5"/>
    <x v="2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x v="2"/>
    <n v="454.23"/>
    <s v="255 Main St"/>
    <s v="Gift Card"/>
    <s v="Returned"/>
    <s v="TRK12518384"/>
    <n v="3"/>
    <s v="NOCOUPONCODE"/>
    <s v="Facebook"/>
    <n v="454.23"/>
  </r>
  <r>
    <s v="ORD201070"/>
    <d v="2024-09-06T00:00:00"/>
    <s v="C46873"/>
    <x v="6"/>
    <x v="3"/>
    <n v="491.29"/>
    <s v="496 Main St"/>
    <s v="Debit Card"/>
    <s v="Pending"/>
    <s v="TRK10926575"/>
    <n v="6"/>
    <s v="NOCOUPONCODE"/>
    <s v="Email"/>
    <n v="1965.16"/>
  </r>
  <r>
    <s v="ORD201071"/>
    <d v="2025-06-24T00:00:00"/>
    <s v="C94037"/>
    <x v="1"/>
    <x v="1"/>
    <n v="255.14"/>
    <s v="216 Main St"/>
    <s v="Cash"/>
    <s v="Shipped"/>
    <s v="TRK47536985"/>
    <n v="2"/>
    <s v="NOCOUPONCODE"/>
    <s v="Google"/>
    <n v="510.28"/>
  </r>
  <r>
    <s v="ORD201072"/>
    <d v="2023-02-26T00:00:00"/>
    <s v="C88644"/>
    <x v="0"/>
    <x v="2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x v="3"/>
    <n v="362.06"/>
    <s v="294 Main St"/>
    <s v="Debit Card"/>
    <s v="Returned"/>
    <s v="TRK11107152"/>
    <n v="4"/>
    <s v="NOCOUPONCODE"/>
    <s v="Facebook"/>
    <n v="1448.24"/>
  </r>
  <r>
    <s v="ORD201074"/>
    <d v="2024-05-10T00:00:00"/>
    <s v="C21437"/>
    <x v="1"/>
    <x v="2"/>
    <n v="222.73"/>
    <s v="120 Main St"/>
    <s v="Online"/>
    <s v="Returned"/>
    <s v="TRK81624772"/>
    <n v="4"/>
    <s v="NOCOUPONCODE"/>
    <s v="Google"/>
    <n v="222.73"/>
  </r>
  <r>
    <s v="ORD201075"/>
    <d v="2024-08-31T00:00:00"/>
    <s v="C40949"/>
    <x v="0"/>
    <x v="1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x v="3"/>
    <n v="686.61"/>
    <s v="176 Main St"/>
    <s v="Cash"/>
    <s v="Shipped"/>
    <s v="TRK52711973"/>
    <n v="6"/>
    <s v="NOCOUPONCODE"/>
    <s v="Referral"/>
    <n v="2746.44"/>
  </r>
  <r>
    <s v="ORD201077"/>
    <d v="2025-03-07T00:00:00"/>
    <s v="C57861"/>
    <x v="4"/>
    <x v="4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x v="2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x v="0"/>
    <n v="634"/>
    <s v="144 Main St"/>
    <s v="Gift Card"/>
    <s v="Delivered"/>
    <s v="TRK99055909"/>
    <n v="8"/>
    <s v="NOCOUPONCODE"/>
    <s v="Email"/>
    <n v="3170"/>
  </r>
  <r>
    <s v="ORD201080"/>
    <d v="2023-01-20T00:00:00"/>
    <s v="C70613"/>
    <x v="5"/>
    <x v="0"/>
    <n v="464.74"/>
    <s v="438 Main St"/>
    <s v="Gift Card"/>
    <s v="Delivered"/>
    <s v="TRK33140293"/>
    <n v="7"/>
    <s v="NOCOUPONCODE"/>
    <s v="Referral"/>
    <n v="2323.6999999999998"/>
  </r>
  <r>
    <s v="ORD201081"/>
    <d v="2023-04-21T00:00:00"/>
    <s v="C55636"/>
    <x v="0"/>
    <x v="3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x v="4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x v="2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x v="2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x v="1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x v="1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x v="3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x v="4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x v="1"/>
    <n v="599.74"/>
    <s v="440 Main St"/>
    <s v="Gift Card"/>
    <s v="Shipped"/>
    <s v="TRK66967997"/>
    <n v="2"/>
    <s v="NOCOUPONCODE"/>
    <s v="Instagram"/>
    <n v="1199.48"/>
  </r>
  <r>
    <s v="ORD201090"/>
    <d v="2023-02-25T00:00:00"/>
    <s v="C61225"/>
    <x v="0"/>
    <x v="1"/>
    <n v="650.25"/>
    <s v="996 Main St"/>
    <s v="Gift Card"/>
    <s v="Returned"/>
    <s v="TRK37022954"/>
    <n v="6"/>
    <s v="NOCOUPONCODE"/>
    <s v="Instagram"/>
    <n v="1300.5"/>
  </r>
  <r>
    <s v="ORD201091"/>
    <d v="2024-10-08T00:00:00"/>
    <s v="C16400"/>
    <x v="5"/>
    <x v="4"/>
    <n v="209.48"/>
    <s v="123 Main St"/>
    <s v="Debit Card"/>
    <s v="Pending"/>
    <s v="TRK57771859"/>
    <n v="4"/>
    <s v="NOCOUPONCODE"/>
    <s v="Email"/>
    <n v="628.44000000000005"/>
  </r>
  <r>
    <s v="ORD201092"/>
    <d v="2023-08-21T00:00:00"/>
    <s v="C38642"/>
    <x v="5"/>
    <x v="0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x v="3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x v="3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x v="1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x v="1"/>
    <n v="464.92"/>
    <s v="782 Main St"/>
    <s v="Debit Card"/>
    <s v="Returned"/>
    <s v="TRK49482923"/>
    <n v="2"/>
    <s v="NOCOUPONCODE"/>
    <s v="Facebook"/>
    <n v="929.84"/>
  </r>
  <r>
    <s v="ORD201097"/>
    <d v="2024-12-26T00:00:00"/>
    <s v="C81370"/>
    <x v="0"/>
    <x v="0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x v="3"/>
    <n v="255.86"/>
    <s v="155 Main St"/>
    <s v="Credit Card"/>
    <s v="Delivered"/>
    <s v="TRK91653000"/>
    <n v="7"/>
    <s v="NOCOUPONCODE"/>
    <s v="Email"/>
    <n v="1023.44"/>
  </r>
  <r>
    <s v="ORD201099"/>
    <d v="2024-09-19T00:00:00"/>
    <s v="C21953"/>
    <x v="5"/>
    <x v="1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x v="0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x v="4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x v="3"/>
    <n v="347.17"/>
    <s v="997 Main St"/>
    <s v="Debit Card"/>
    <s v="Shipped"/>
    <s v="TRK86192984"/>
    <n v="8"/>
    <s v="NOCOUPONCODE"/>
    <s v="Instagram"/>
    <n v="1388.68"/>
  </r>
  <r>
    <s v="ORD201103"/>
    <d v="2023-04-24T00:00:00"/>
    <s v="C90292"/>
    <x v="5"/>
    <x v="3"/>
    <n v="276.32"/>
    <s v="129 Main St"/>
    <s v="Online"/>
    <s v="Delivered"/>
    <s v="TRK26270357"/>
    <n v="5"/>
    <s v="NOCOUPONCODE"/>
    <s v="Google"/>
    <n v="1105.28"/>
  </r>
  <r>
    <s v="ORD201104"/>
    <d v="2024-07-25T00:00:00"/>
    <s v="C17075"/>
    <x v="2"/>
    <x v="3"/>
    <n v="314.76"/>
    <s v="850 Main St"/>
    <s v="Online"/>
    <s v="Shipped"/>
    <s v="TRK63547510"/>
    <n v="8"/>
    <s v="NOCOUPONCODE"/>
    <s v="Instagram"/>
    <n v="1259.04"/>
  </r>
  <r>
    <s v="ORD201105"/>
    <d v="2024-01-08T00:00:00"/>
    <s v="C12487"/>
    <x v="2"/>
    <x v="4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x v="2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x v="1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x v="2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x v="3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x v="4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x v="3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x v="2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x v="3"/>
    <n v="209.99"/>
    <s v="168 Main St"/>
    <s v="Cash"/>
    <s v="Delivered"/>
    <s v="TRK80819053"/>
    <n v="8"/>
    <s v="NOCOUPONCODE"/>
    <s v="Google"/>
    <n v="839.96"/>
  </r>
  <r>
    <s v="ORD201114"/>
    <d v="2023-03-16T00:00:00"/>
    <s v="C55164"/>
    <x v="2"/>
    <x v="4"/>
    <n v="659.88"/>
    <s v="609 Main St"/>
    <s v="Gift Card"/>
    <s v="Cancelled"/>
    <s v="TRK79610967"/>
    <n v="3"/>
    <s v="NOCOUPONCODE"/>
    <s v="Google"/>
    <n v="1979.64"/>
  </r>
  <r>
    <s v="ORD201115"/>
    <d v="2025-06-20T00:00:00"/>
    <s v="C70426"/>
    <x v="5"/>
    <x v="1"/>
    <n v="336.32"/>
    <s v="562 Main St"/>
    <s v="Online"/>
    <s v="Returned"/>
    <s v="TRK89687816"/>
    <n v="3"/>
    <s v="NOCOUPONCODE"/>
    <s v="Google"/>
    <n v="672.64"/>
  </r>
  <r>
    <s v="ORD201116"/>
    <d v="2023-10-14T00:00:00"/>
    <s v="C69149"/>
    <x v="4"/>
    <x v="1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x v="4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x v="4"/>
    <n v="251.48"/>
    <s v="359 Main St"/>
    <s v="Credit Card"/>
    <s v="Returned"/>
    <s v="TRK99102265"/>
    <n v="4"/>
    <s v="NOCOUPONCODE"/>
    <s v="Email"/>
    <n v="754.44"/>
  </r>
  <r>
    <s v="ORD201119"/>
    <d v="2024-11-24T00:00:00"/>
    <s v="C99024"/>
    <x v="5"/>
    <x v="2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x v="2"/>
    <n v="195.86"/>
    <s v="267 Main St"/>
    <s v="Online"/>
    <s v="Pending"/>
    <s v="TRK82416295"/>
    <n v="3"/>
    <s v="NOCOUPONCODE"/>
    <s v="Facebook"/>
    <n v="195.86"/>
  </r>
  <r>
    <s v="ORD201121"/>
    <d v="2023-05-28T00:00:00"/>
    <s v="C98354"/>
    <x v="1"/>
    <x v="4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x v="0"/>
    <n v="678.19"/>
    <s v="766 Main St"/>
    <s v="Online"/>
    <s v="Returned"/>
    <s v="TRK32496970"/>
    <n v="8"/>
    <s v="NOCOUPONCODE"/>
    <s v="Facebook"/>
    <n v="3390.95"/>
  </r>
  <r>
    <s v="ORD201123"/>
    <d v="2023-04-14T00:00:00"/>
    <s v="C68936"/>
    <x v="2"/>
    <x v="4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x v="3"/>
    <n v="576.87"/>
    <s v="888 Main St"/>
    <s v="Gift Card"/>
    <s v="Returned"/>
    <s v="TRK40245983"/>
    <n v="5"/>
    <s v="NOCOUPONCODE"/>
    <s v="Instagram"/>
    <n v="2307.48"/>
  </r>
  <r>
    <s v="ORD201125"/>
    <d v="2023-10-16T00:00:00"/>
    <s v="C23555"/>
    <x v="6"/>
    <x v="3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x v="0"/>
    <n v="190.11"/>
    <s v="325 Main St"/>
    <s v="Cash"/>
    <s v="Delivered"/>
    <s v="TRK36195559"/>
    <n v="7"/>
    <s v="SAVE10"/>
    <s v="Google"/>
    <n v="950.55"/>
  </r>
  <r>
    <s v="ORD201127"/>
    <d v="2025-03-15T00:00:00"/>
    <s v="C69396"/>
    <x v="4"/>
    <x v="4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x v="4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x v="3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x v="1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x v="2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x v="1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x v="1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x v="3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x v="1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x v="4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x v="3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x v="3"/>
    <n v="294.41000000000003"/>
    <s v="188 Main St"/>
    <s v="Debit Card"/>
    <s v="Pending"/>
    <s v="TRK55565668"/>
    <n v="4"/>
    <s v="NOCOUPONCODE"/>
    <s v="Instagram"/>
    <n v="1177.6400000000001"/>
  </r>
  <r>
    <s v="ORD201139"/>
    <d v="2025-03-01T00:00:00"/>
    <s v="C70659"/>
    <x v="3"/>
    <x v="4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x v="1"/>
    <n v="552.83000000000004"/>
    <s v="904 Main St"/>
    <s v="Credit Card"/>
    <s v="Cancelled"/>
    <s v="TRK38297718"/>
    <n v="3"/>
    <s v="NOCOUPONCODE"/>
    <s v="Referral"/>
    <n v="1105.6600000000001"/>
  </r>
  <r>
    <s v="ORD201141"/>
    <d v="2025-02-16T00:00:00"/>
    <s v="C11998"/>
    <x v="3"/>
    <x v="4"/>
    <n v="498.66"/>
    <s v="382 Main St"/>
    <s v="Cash"/>
    <s v="Cancelled"/>
    <s v="TRK26707221"/>
    <n v="6"/>
    <s v="NOCOUPONCODE"/>
    <s v="Email"/>
    <n v="1495.98"/>
  </r>
  <r>
    <s v="ORD201142"/>
    <d v="2024-08-23T00:00:00"/>
    <s v="C23405"/>
    <x v="1"/>
    <x v="3"/>
    <n v="695.1"/>
    <s v="484 Main St"/>
    <s v="Debit Card"/>
    <s v="Returned"/>
    <s v="TRK83678708"/>
    <n v="8"/>
    <s v="NOCOUPONCODE"/>
    <s v="Email"/>
    <n v="2780.4"/>
  </r>
  <r>
    <s v="ORD201143"/>
    <d v="2023-04-03T00:00:00"/>
    <s v="C41132"/>
    <x v="3"/>
    <x v="2"/>
    <n v="381.61"/>
    <s v="114 Main St"/>
    <s v="Debit Card"/>
    <s v="Pending"/>
    <s v="TRK51040137"/>
    <n v="5"/>
    <s v="NOCOUPONCODE"/>
    <s v="Email"/>
    <n v="381.61"/>
  </r>
  <r>
    <s v="ORD201144"/>
    <d v="2023-02-16T00:00:00"/>
    <s v="C88463"/>
    <x v="6"/>
    <x v="0"/>
    <n v="507.94"/>
    <s v="292 Main St"/>
    <s v="Online"/>
    <s v="Cancelled"/>
    <s v="TRK88749996"/>
    <n v="9"/>
    <s v="NOCOUPONCODE"/>
    <s v="Facebook"/>
    <n v="2539.6999999999998"/>
  </r>
  <r>
    <s v="ORD201145"/>
    <d v="2025-05-12T00:00:00"/>
    <s v="C28152"/>
    <x v="6"/>
    <x v="4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x v="0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x v="1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x v="2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x v="1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x v="3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x v="1"/>
    <n v="608.04"/>
    <s v="962 Main St"/>
    <s v="Cash"/>
    <s v="Cancelled"/>
    <s v="TRK69804304"/>
    <n v="4"/>
    <s v="NOCOUPONCODE"/>
    <s v="Google"/>
    <n v="1216.08"/>
  </r>
  <r>
    <s v="ORD201152"/>
    <d v="2023-11-09T00:00:00"/>
    <s v="C25162"/>
    <x v="2"/>
    <x v="1"/>
    <n v="344.18"/>
    <s v="533 Main St"/>
    <s v="Credit Card"/>
    <s v="Shipped"/>
    <s v="TRK42183078"/>
    <n v="7"/>
    <s v="NOCOUPONCODE"/>
    <s v="Referral"/>
    <n v="688.36"/>
  </r>
  <r>
    <s v="ORD201153"/>
    <d v="2024-12-16T00:00:00"/>
    <s v="C98317"/>
    <x v="0"/>
    <x v="3"/>
    <n v="696.71"/>
    <s v="276 Main St"/>
    <s v="Debit Card"/>
    <s v="Shipped"/>
    <s v="TRK37172138"/>
    <n v="4"/>
    <s v="NOCOUPONCODE"/>
    <s v="Instagram"/>
    <n v="2786.84"/>
  </r>
  <r>
    <s v="ORD201154"/>
    <d v="2025-06-11T00:00:00"/>
    <s v="C53631"/>
    <x v="0"/>
    <x v="4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x v="3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x v="3"/>
    <n v="690.78"/>
    <s v="980 Main St"/>
    <s v="Credit Card"/>
    <s v="Shipped"/>
    <s v="TRK98234737"/>
    <n v="9"/>
    <s v="NOCOUPONCODE"/>
    <s v="Referral"/>
    <n v="2763.12"/>
  </r>
  <r>
    <s v="ORD201157"/>
    <d v="2024-05-29T00:00:00"/>
    <s v="C25841"/>
    <x v="0"/>
    <x v="4"/>
    <n v="301.55"/>
    <s v="242 Main St"/>
    <s v="Debit Card"/>
    <s v="Delivered"/>
    <s v="TRK21451375"/>
    <n v="5"/>
    <s v="FREESHIP"/>
    <s v="Google"/>
    <n v="904.65"/>
  </r>
  <r>
    <s v="ORD201158"/>
    <d v="2023-04-20T00:00:00"/>
    <s v="C82781"/>
    <x v="0"/>
    <x v="3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x v="3"/>
    <n v="466.7"/>
    <s v="874 Main St"/>
    <s v="Debit Card"/>
    <s v="Returned"/>
    <s v="TRK60955607"/>
    <n v="8"/>
    <s v="NOCOUPONCODE"/>
    <s v="Instagram"/>
    <n v="1866.8"/>
  </r>
  <r>
    <s v="ORD201160"/>
    <d v="2024-09-04T00:00:00"/>
    <s v="C40466"/>
    <x v="6"/>
    <x v="2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x v="2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x v="1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x v="4"/>
    <n v="306.29000000000002"/>
    <s v="966 Main St"/>
    <s v="Credit Card"/>
    <s v="Returned"/>
    <s v="TRK19477485"/>
    <n v="7"/>
    <s v="WINTER15"/>
    <s v="Instagram"/>
    <n v="918.87"/>
  </r>
  <r>
    <s v="ORD201164"/>
    <d v="2024-01-08T00:00:00"/>
    <s v="C65890"/>
    <x v="2"/>
    <x v="0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x v="4"/>
    <n v="223.79"/>
    <s v="617 Main St"/>
    <s v="Debit Card"/>
    <s v="Pending"/>
    <s v="TRK63460217"/>
    <n v="3"/>
    <s v="NOCOUPONCODE"/>
    <s v="Google"/>
    <n v="671.37"/>
  </r>
  <r>
    <s v="ORD201166"/>
    <d v="2023-07-31T00:00:00"/>
    <s v="C95568"/>
    <x v="3"/>
    <x v="4"/>
    <n v="324.47000000000003"/>
    <s v="971 Main St"/>
    <s v="Cash"/>
    <s v="Delivered"/>
    <s v="TRK37075292"/>
    <n v="4"/>
    <s v="WINTER15"/>
    <s v="Email"/>
    <n v="973.41"/>
  </r>
  <r>
    <s v="ORD201167"/>
    <d v="2023-10-17T00:00:00"/>
    <s v="C17966"/>
    <x v="4"/>
    <x v="1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x v="1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x v="2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x v="1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x v="3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x v="4"/>
    <n v="131.96"/>
    <s v="745 Main St"/>
    <s v="Credit Card"/>
    <s v="Pending"/>
    <s v="TRK32550359"/>
    <n v="8"/>
    <s v="NOCOUPONCODE"/>
    <s v="Instagram"/>
    <n v="395.88"/>
  </r>
  <r>
    <s v="ORD201173"/>
    <d v="2024-10-04T00:00:00"/>
    <s v="C82921"/>
    <x v="0"/>
    <x v="2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x v="4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x v="4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x v="1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x v="2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x v="2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x v="0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x v="3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x v="4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x v="1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x v="2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x v="2"/>
    <n v="204.08"/>
    <s v="979 Main St"/>
    <s v="Gift Card"/>
    <s v="Returned"/>
    <s v="TRK86297895"/>
    <n v="4"/>
    <s v="NOCOUPONCODE"/>
    <s v="Google"/>
    <n v="204.08"/>
  </r>
  <r>
    <s v="ORD201185"/>
    <d v="2024-07-08T00:00:00"/>
    <s v="C77344"/>
    <x v="3"/>
    <x v="2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x v="2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x v="1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x v="1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x v="0"/>
    <n v="389.22"/>
    <s v="149 Main St"/>
    <s v="Cash"/>
    <s v="Cancelled"/>
    <s v="TRK60856682"/>
    <n v="7"/>
    <s v="NOCOUPONCODE"/>
    <s v="Referral"/>
    <n v="1946.1"/>
  </r>
  <r>
    <s v="ORD201190"/>
    <d v="2025-06-08T00:00:00"/>
    <s v="C46886"/>
    <x v="6"/>
    <x v="4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x v="3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x v="4"/>
    <n v="432.85"/>
    <s v="999 Main St"/>
    <s v="Online"/>
    <s v="Pending"/>
    <s v="TRK16240916"/>
    <n v="4"/>
    <s v="NOCOUPONCODE"/>
    <s v="Instagram"/>
    <n v="1298.55"/>
  </r>
  <r>
    <s v="ORD201193"/>
    <d v="2025-06-16T00:00:00"/>
    <s v="C45104"/>
    <x v="2"/>
    <x v="2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x v="4"/>
    <n v="189.44"/>
    <s v="725 Main St"/>
    <s v="Cash"/>
    <s v="Pending"/>
    <s v="TRK62067865"/>
    <n v="4"/>
    <s v="FREESHIP"/>
    <s v="Email"/>
    <n v="568.32000000000005"/>
  </r>
  <r>
    <s v="ORD201195"/>
    <d v="2024-06-20T00:00:00"/>
    <s v="C21126"/>
    <x v="6"/>
    <x v="2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x v="1"/>
    <n v="662.53"/>
    <s v="778 Main St"/>
    <s v="Online"/>
    <s v="Cancelled"/>
    <s v="TRK69207593"/>
    <n v="5"/>
    <s v="NOCOUPONCODE"/>
    <s v="Facebook"/>
    <n v="1325.06"/>
  </r>
  <r>
    <s v="ORD201197"/>
    <d v="2023-07-13T00:00:00"/>
    <s v="C79674"/>
    <x v="2"/>
    <x v="1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x v="3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x v="3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86EC7-D83A-4C2B-B501-57282642B8F7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8:C16" firstHeaderRow="0" firstDataRow="1" firstDataCol="1"/>
  <pivotFields count="14">
    <pivotField showAll="0"/>
    <pivotField numFmtId="22"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 countASubtotal="1">
      <items count="6">
        <item x="2"/>
        <item x="1"/>
        <item x="4"/>
        <item x="3"/>
        <item x="0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165"/>
    <dataField name="Count of Quantity" fld="4" subtotal="count" baseField="3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4" type="button" dataOnly="0" labelOnly="1" outline="0"/>
    </format>
    <format dxfId="48">
      <pivotArea type="topRight" dataOnly="0" labelOnly="1" outline="0" fieldPosition="0"/>
    </format>
    <format dxfId="47">
      <pivotArea dataOnly="0" labelOnly="1" grandCol="1" outline="0" fieldPosition="0"/>
    </format>
    <format dxfId="46">
      <pivotArea dataOnly="0" outline="0" fieldPosition="0">
        <references count="1">
          <reference field="4294967294" count="1">
            <x v="1"/>
          </reference>
        </references>
      </pivotArea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689760-CFE5-499F-B228-E7ACE3283154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DEDD9-BC03-4D58-8528-0EF4E34188DE}" name="Table1" displayName="Table1" ref="A1:N1201" totalsRowShown="0" headerRowDxfId="37" headerRowBorderDxfId="36" tableBorderDxfId="35">
  <autoFilter ref="A1:N1201" xr:uid="{9B5DEDD9-BC03-4D58-8528-0EF4E34188DE}"/>
  <tableColumns count="14">
    <tableColumn id="1" xr3:uid="{0D775177-315F-4B23-A60C-4F477533AA6E}" name="OrderID"/>
    <tableColumn id="2" xr3:uid="{15E95131-25C3-448E-936A-0D73ED8F3F69}" name="Date" dataDxfId="34"/>
    <tableColumn id="3" xr3:uid="{21F96F44-6BA9-43B8-B08D-A118E758886B}" name="CustomerID"/>
    <tableColumn id="4" xr3:uid="{8DFD67C2-1DEF-480E-9411-7D539D00334A}" name="Product"/>
    <tableColumn id="5" xr3:uid="{97F660C6-27BD-44FE-B9C9-14587E47FFCC}" name="Quantity"/>
    <tableColumn id="6" xr3:uid="{D5F5F245-43B1-4557-9B3B-83F434D51CFA}" name="UnitPrice"/>
    <tableColumn id="7" xr3:uid="{BC39A8F2-2703-4E36-9A6D-E91620123C3A}" name="ShippingAddress"/>
    <tableColumn id="8" xr3:uid="{4B8C4BFB-B956-48C2-86CF-E2674AAB5624}" name="PaymentMethod"/>
    <tableColumn id="9" xr3:uid="{2AB853C0-365F-4A3B-91A0-BC9210382874}" name="OrderStatus"/>
    <tableColumn id="10" xr3:uid="{EE4798B3-BB48-4ADD-9C3A-8645644A330F}" name="TrackingNumber"/>
    <tableColumn id="11" xr3:uid="{2398A1AD-6577-4A80-802F-A7137FAE1D78}" name="ItemsInCart"/>
    <tableColumn id="12" xr3:uid="{45FC03ED-841A-452E-85DA-9CA6A6C5BEEB}" name="CouponCode"/>
    <tableColumn id="13" xr3:uid="{506F0853-D48D-43D5-A485-8B10E614A13C}" name="ReferralSource"/>
    <tableColumn id="14" xr3:uid="{B395E687-B0ED-4B6F-BFA0-F05ABA43074B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7A802-D372-4C7C-A390-D225A4575444}" name="Table1_1" displayName="Table1_1" ref="A1:Q1201" tableType="queryTable" totalsRowShown="0">
  <autoFilter ref="A1:Q1201" xr:uid="{ED47A802-D372-4C7C-A390-D225A4575444}"/>
  <tableColumns count="17">
    <tableColumn id="1" xr3:uid="{000AB5C4-06E9-4A55-B807-F266287D32A7}" uniqueName="1" name="OrderID" queryTableFieldId="1" dataDxfId="33"/>
    <tableColumn id="2" xr3:uid="{E1B660B7-659D-418E-BAF3-4CFB3B58FEBE}" uniqueName="2" name="Date" queryTableFieldId="2" dataDxfId="32"/>
    <tableColumn id="3" xr3:uid="{30BB1ED6-31BA-4615-9386-374502882133}" uniqueName="3" name="CustomerID" queryTableFieldId="3" dataDxfId="31"/>
    <tableColumn id="4" xr3:uid="{2D374539-40D9-4F3E-B124-0181A5EADF2C}" uniqueName="4" name="Product" queryTableFieldId="4" dataDxfId="30"/>
    <tableColumn id="5" xr3:uid="{BC924184-D177-4699-BFAD-BA7A1390D0F0}" uniqueName="5" name="Quantity" queryTableFieldId="5"/>
    <tableColumn id="6" xr3:uid="{24B7C2E3-5472-40B6-95F1-2E5DDA7E4EB8}" uniqueName="6" name="UnitPrice" queryTableFieldId="6"/>
    <tableColumn id="7" xr3:uid="{7C7C2FC6-1C57-4EB2-B5F4-755A60EE873B}" uniqueName="7" name="ShippingAddress" queryTableFieldId="7" dataDxfId="29"/>
    <tableColumn id="8" xr3:uid="{EDF781F0-4035-4AE8-B8B4-0E266C63456A}" uniqueName="8" name="PaymentMethod" queryTableFieldId="8" dataDxfId="28"/>
    <tableColumn id="9" xr3:uid="{F7724600-1E0F-4B45-AA85-0AC656F776CD}" uniqueName="9" name="OrderStatus" queryTableFieldId="9" dataDxfId="27"/>
    <tableColumn id="10" xr3:uid="{3FC8B466-3E08-496A-8190-9B56D270D4C8}" uniqueName="10" name="TrackingNumber" queryTableFieldId="10" dataDxfId="26"/>
    <tableColumn id="11" xr3:uid="{23FA4855-05E5-4FDD-9203-71A2ADCEB4AE}" uniqueName="11" name="ItemsInCart" queryTableFieldId="11"/>
    <tableColumn id="12" xr3:uid="{A75BCBBF-40B4-4B1E-9118-B3EFAC42AB9D}" uniqueName="12" name="CouponCode" queryTableFieldId="12" dataDxfId="25"/>
    <tableColumn id="13" xr3:uid="{DBD7E11C-D266-4F92-A2C8-838DEDC8940D}" uniqueName="13" name="ReferralSource" queryTableFieldId="13" dataDxfId="24"/>
    <tableColumn id="14" xr3:uid="{45572C3A-6F35-48E1-9F6D-D171AC5BA0C1}" uniqueName="14" name="TotalPrice" queryTableFieldId="14"/>
    <tableColumn id="15" xr3:uid="{BD144F71-7E3A-4E31-892F-5D17C9CF6D6F}" uniqueName="15" name="Day" queryTableFieldId="15" dataDxfId="23">
      <calculatedColumnFormula>DAY(B2)</calculatedColumnFormula>
    </tableColumn>
    <tableColumn id="16" xr3:uid="{E5A461E6-BCBC-4DBC-8045-9F67EF385CC5}" uniqueName="16" name="Month" queryTableFieldId="16" dataDxfId="22">
      <calculatedColumnFormula>MONTH(B2)</calculatedColumnFormula>
    </tableColumn>
    <tableColumn id="17" xr3:uid="{7CBD0BF9-15DD-46EC-BC6D-5376A729151E}" uniqueName="17" name="Year" queryTableFieldId="17" dataDxfId="21">
      <calculatedColumnFormula>YEAR(B2)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0D47F-0461-450A-A930-4522155B5006}" name="Table3" displayName="Table3" ref="A1:D6" totalsRowShown="0" headerRowDxfId="42" dataDxfId="41" headerRowCellStyle="Currency" dataCellStyle="Currency">
  <autoFilter ref="A1:D6" xr:uid="{B380D47F-0461-450A-A930-4522155B5006}"/>
  <tableColumns count="4">
    <tableColumn id="1" xr3:uid="{5A286DB5-8069-4D3F-B796-1F3EC1C1575D}" name="Metric" dataDxfId="40" dataCellStyle="Currency"/>
    <tableColumn id="2" xr3:uid="{524A3EC0-D7B1-46E3-9FF3-1A792EAEBE35}" name="UnitPrice" dataDxfId="39" dataCellStyle="Currency"/>
    <tableColumn id="3" xr3:uid="{E394C4D3-2A22-46B7-A478-9B601EDE2C83}" name="TotalPrice" dataDxfId="38" dataCellStyle="Currency"/>
    <tableColumn id="4" xr3:uid="{40C178F5-03AE-4CDF-9C3F-95BD4D757169}" name="Quantity" dataCellStyle="Comm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A1200" sqref="A1200"/>
    </sheetView>
  </sheetViews>
  <sheetFormatPr defaultRowHeight="14.4" x14ac:dyDescent="0.3"/>
  <cols>
    <col min="1" max="1" width="17.33203125" customWidth="1"/>
    <col min="2" max="2" width="15.88671875" customWidth="1"/>
    <col min="3" max="3" width="15.77734375" customWidth="1"/>
    <col min="4" max="4" width="9.5546875" customWidth="1"/>
    <col min="5" max="5" width="10.21875" customWidth="1"/>
    <col min="6" max="6" width="10.5546875" customWidth="1"/>
    <col min="7" max="7" width="17.5546875" customWidth="1"/>
    <col min="8" max="8" width="17.21875" customWidth="1"/>
    <col min="9" max="9" width="15.77734375" customWidth="1"/>
    <col min="10" max="10" width="16.88671875" customWidth="1"/>
    <col min="11" max="11" width="14.554687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AE68-5FA9-4507-B65C-339A772E3A33}">
  <dimension ref="A1:Q1201"/>
  <sheetViews>
    <sheetView workbookViewId="0">
      <selection activeCell="P13" sqref="P13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5.88671875" bestFit="1" customWidth="1"/>
    <col min="13" max="13" width="15.6640625" bestFit="1" customWidth="1"/>
    <col min="14" max="14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4301</v>
      </c>
      <c r="P1" t="s">
        <v>4302</v>
      </c>
      <c r="Q1" t="s">
        <v>4303</v>
      </c>
    </row>
    <row r="2" spans="1:17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 t="shared" ref="O2:O65" si="0">DAY(B2)</f>
        <v>4</v>
      </c>
      <c r="P2">
        <f t="shared" ref="P2:P65" si="1">MONTH(B2)</f>
        <v>1</v>
      </c>
      <c r="Q2">
        <f t="shared" ref="Q2:Q65" si="2">YEAR(B2)</f>
        <v>2023</v>
      </c>
    </row>
    <row r="3" spans="1:17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si="0"/>
        <v>23</v>
      </c>
      <c r="P3">
        <f t="shared" si="1"/>
        <v>8</v>
      </c>
      <c r="Q3">
        <f t="shared" si="2"/>
        <v>2024</v>
      </c>
    </row>
    <row r="4" spans="1:17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</v>
      </c>
      <c r="P4">
        <f t="shared" si="1"/>
        <v>2</v>
      </c>
      <c r="Q4">
        <f t="shared" si="2"/>
        <v>2024</v>
      </c>
    </row>
    <row r="5" spans="1:17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15</v>
      </c>
      <c r="P5">
        <f t="shared" si="1"/>
        <v>10</v>
      </c>
      <c r="Q5">
        <f t="shared" si="2"/>
        <v>2023</v>
      </c>
    </row>
    <row r="6" spans="1:17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8</v>
      </c>
      <c r="P6">
        <f t="shared" si="1"/>
        <v>5</v>
      </c>
      <c r="Q6">
        <f t="shared" si="2"/>
        <v>2025</v>
      </c>
    </row>
    <row r="7" spans="1:17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23</v>
      </c>
      <c r="P7">
        <f t="shared" si="1"/>
        <v>10</v>
      </c>
      <c r="Q7">
        <f t="shared" si="2"/>
        <v>2023</v>
      </c>
    </row>
    <row r="8" spans="1:17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17</v>
      </c>
      <c r="P8">
        <f t="shared" si="1"/>
        <v>6</v>
      </c>
      <c r="Q8">
        <f t="shared" si="2"/>
        <v>2025</v>
      </c>
    </row>
    <row r="9" spans="1:17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12</v>
      </c>
      <c r="P9">
        <f t="shared" si="1"/>
        <v>5</v>
      </c>
      <c r="Q9">
        <f t="shared" si="2"/>
        <v>2023</v>
      </c>
    </row>
    <row r="10" spans="1:17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</v>
      </c>
      <c r="P10">
        <f t="shared" si="1"/>
        <v>4</v>
      </c>
      <c r="Q10">
        <f t="shared" si="2"/>
        <v>2025</v>
      </c>
    </row>
    <row r="11" spans="1:17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21</v>
      </c>
      <c r="P11">
        <f t="shared" si="1"/>
        <v>11</v>
      </c>
      <c r="Q11">
        <f t="shared" si="2"/>
        <v>2023</v>
      </c>
    </row>
    <row r="12" spans="1:17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29</v>
      </c>
      <c r="P12">
        <f t="shared" si="1"/>
        <v>12</v>
      </c>
      <c r="Q12">
        <f t="shared" si="2"/>
        <v>2023</v>
      </c>
    </row>
    <row r="13" spans="1:17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17</v>
      </c>
      <c r="P13">
        <f t="shared" si="1"/>
        <v>2</v>
      </c>
      <c r="Q13">
        <f t="shared" si="2"/>
        <v>2024</v>
      </c>
    </row>
    <row r="14" spans="1:17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15</v>
      </c>
      <c r="P14">
        <f t="shared" si="1"/>
        <v>10</v>
      </c>
      <c r="Q14">
        <f t="shared" si="2"/>
        <v>2024</v>
      </c>
    </row>
    <row r="15" spans="1:17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30</v>
      </c>
      <c r="P15">
        <f t="shared" si="1"/>
        <v>8</v>
      </c>
      <c r="Q15">
        <f t="shared" si="2"/>
        <v>2023</v>
      </c>
    </row>
    <row r="16" spans="1:17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27</v>
      </c>
      <c r="P16">
        <f t="shared" si="1"/>
        <v>3</v>
      </c>
      <c r="Q16">
        <f t="shared" si="2"/>
        <v>2023</v>
      </c>
    </row>
    <row r="17" spans="1:17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17</v>
      </c>
      <c r="P17">
        <f t="shared" si="1"/>
        <v>7</v>
      </c>
      <c r="Q17">
        <f t="shared" si="2"/>
        <v>2023</v>
      </c>
    </row>
    <row r="18" spans="1:17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24</v>
      </c>
      <c r="P18">
        <f t="shared" si="1"/>
        <v>1</v>
      </c>
      <c r="Q18">
        <f t="shared" si="2"/>
        <v>2023</v>
      </c>
    </row>
    <row r="19" spans="1:17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2</v>
      </c>
      <c r="P19">
        <f t="shared" si="1"/>
        <v>3</v>
      </c>
      <c r="Q19">
        <f t="shared" si="2"/>
        <v>2024</v>
      </c>
    </row>
    <row r="20" spans="1:17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26</v>
      </c>
      <c r="P20">
        <f t="shared" si="1"/>
        <v>3</v>
      </c>
      <c r="Q20">
        <f t="shared" si="2"/>
        <v>2025</v>
      </c>
    </row>
    <row r="21" spans="1:17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23</v>
      </c>
      <c r="P21">
        <f t="shared" si="1"/>
        <v>1</v>
      </c>
      <c r="Q21">
        <f t="shared" si="2"/>
        <v>2023</v>
      </c>
    </row>
    <row r="22" spans="1:17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8</v>
      </c>
      <c r="P22">
        <f t="shared" si="1"/>
        <v>5</v>
      </c>
      <c r="Q22">
        <f t="shared" si="2"/>
        <v>2023</v>
      </c>
    </row>
    <row r="23" spans="1:17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17</v>
      </c>
      <c r="P23">
        <f t="shared" si="1"/>
        <v>11</v>
      </c>
      <c r="Q23">
        <f t="shared" si="2"/>
        <v>2024</v>
      </c>
    </row>
    <row r="24" spans="1:17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29</v>
      </c>
      <c r="P24">
        <f t="shared" si="1"/>
        <v>1</v>
      </c>
      <c r="Q24">
        <f t="shared" si="2"/>
        <v>2023</v>
      </c>
    </row>
    <row r="25" spans="1:17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9</v>
      </c>
      <c r="P25">
        <f t="shared" si="1"/>
        <v>4</v>
      </c>
      <c r="Q25">
        <f t="shared" si="2"/>
        <v>2025</v>
      </c>
    </row>
    <row r="26" spans="1:17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30</v>
      </c>
      <c r="P26">
        <f t="shared" si="1"/>
        <v>10</v>
      </c>
      <c r="Q26">
        <f t="shared" si="2"/>
        <v>2024</v>
      </c>
    </row>
    <row r="27" spans="1:17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24</v>
      </c>
      <c r="P27">
        <f t="shared" si="1"/>
        <v>7</v>
      </c>
      <c r="Q27">
        <f t="shared" si="2"/>
        <v>2024</v>
      </c>
    </row>
    <row r="28" spans="1:17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6</v>
      </c>
      <c r="P28">
        <f t="shared" si="1"/>
        <v>3</v>
      </c>
      <c r="Q28">
        <f t="shared" si="2"/>
        <v>2024</v>
      </c>
    </row>
    <row r="29" spans="1:17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22</v>
      </c>
      <c r="P29">
        <f t="shared" si="1"/>
        <v>2</v>
      </c>
      <c r="Q29">
        <f t="shared" si="2"/>
        <v>2024</v>
      </c>
    </row>
    <row r="30" spans="1:17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21</v>
      </c>
      <c r="P30">
        <f t="shared" si="1"/>
        <v>11</v>
      </c>
      <c r="Q30">
        <f t="shared" si="2"/>
        <v>2023</v>
      </c>
    </row>
    <row r="31" spans="1:17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20</v>
      </c>
      <c r="P31">
        <f t="shared" si="1"/>
        <v>9</v>
      </c>
      <c r="Q31">
        <f t="shared" si="2"/>
        <v>2024</v>
      </c>
    </row>
    <row r="32" spans="1:17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22</v>
      </c>
      <c r="P32">
        <f t="shared" si="1"/>
        <v>3</v>
      </c>
      <c r="Q32">
        <f t="shared" si="2"/>
        <v>2025</v>
      </c>
    </row>
    <row r="33" spans="1:17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30</v>
      </c>
      <c r="P33">
        <f t="shared" si="1"/>
        <v>6</v>
      </c>
      <c r="Q33">
        <f t="shared" si="2"/>
        <v>2023</v>
      </c>
    </row>
    <row r="34" spans="1:17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1</v>
      </c>
      <c r="P34">
        <f t="shared" si="1"/>
        <v>5</v>
      </c>
      <c r="Q34">
        <f t="shared" si="2"/>
        <v>2023</v>
      </c>
    </row>
    <row r="35" spans="1:17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5</v>
      </c>
      <c r="P35">
        <f t="shared" si="1"/>
        <v>6</v>
      </c>
      <c r="Q35">
        <f t="shared" si="2"/>
        <v>2023</v>
      </c>
    </row>
    <row r="36" spans="1:17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7</v>
      </c>
      <c r="P36">
        <f t="shared" si="1"/>
        <v>1</v>
      </c>
      <c r="Q36">
        <f t="shared" si="2"/>
        <v>2023</v>
      </c>
    </row>
    <row r="37" spans="1:17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7</v>
      </c>
      <c r="P37">
        <f t="shared" si="1"/>
        <v>12</v>
      </c>
      <c r="Q37">
        <f t="shared" si="2"/>
        <v>2024</v>
      </c>
    </row>
    <row r="38" spans="1:17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8</v>
      </c>
      <c r="P38">
        <f t="shared" si="1"/>
        <v>5</v>
      </c>
      <c r="Q38">
        <f t="shared" si="2"/>
        <v>2025</v>
      </c>
    </row>
    <row r="39" spans="1:17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14</v>
      </c>
      <c r="P39">
        <f t="shared" si="1"/>
        <v>10</v>
      </c>
      <c r="Q39">
        <f t="shared" si="2"/>
        <v>2024</v>
      </c>
    </row>
    <row r="40" spans="1:17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19</v>
      </c>
      <c r="P40">
        <f t="shared" si="1"/>
        <v>12</v>
      </c>
      <c r="Q40">
        <f t="shared" si="2"/>
        <v>2024</v>
      </c>
    </row>
    <row r="41" spans="1:17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769.38</v>
      </c>
      <c r="O41">
        <f t="shared" si="0"/>
        <v>27</v>
      </c>
      <c r="P41">
        <f t="shared" si="1"/>
        <v>2</v>
      </c>
      <c r="Q41">
        <f t="shared" si="2"/>
        <v>2025</v>
      </c>
    </row>
    <row r="42" spans="1:17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20</v>
      </c>
      <c r="P42">
        <f t="shared" si="1"/>
        <v>8</v>
      </c>
      <c r="Q42">
        <f t="shared" si="2"/>
        <v>2023</v>
      </c>
    </row>
    <row r="43" spans="1:17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5</v>
      </c>
      <c r="P43">
        <f t="shared" si="1"/>
        <v>12</v>
      </c>
      <c r="Q43">
        <f t="shared" si="2"/>
        <v>2023</v>
      </c>
    </row>
    <row r="44" spans="1:17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6</v>
      </c>
      <c r="P44">
        <f t="shared" si="1"/>
        <v>5</v>
      </c>
      <c r="Q44">
        <f t="shared" si="2"/>
        <v>2024</v>
      </c>
    </row>
    <row r="45" spans="1:17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14</v>
      </c>
      <c r="P45">
        <f t="shared" si="1"/>
        <v>12</v>
      </c>
      <c r="Q45">
        <f t="shared" si="2"/>
        <v>2023</v>
      </c>
    </row>
    <row r="46" spans="1:17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21</v>
      </c>
      <c r="P46">
        <f t="shared" si="1"/>
        <v>4</v>
      </c>
      <c r="Q46">
        <f t="shared" si="2"/>
        <v>2025</v>
      </c>
    </row>
    <row r="47" spans="1:17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10</v>
      </c>
      <c r="P47">
        <f t="shared" si="1"/>
        <v>2</v>
      </c>
      <c r="Q47">
        <f t="shared" si="2"/>
        <v>2024</v>
      </c>
    </row>
    <row r="48" spans="1:17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26</v>
      </c>
      <c r="P48">
        <f t="shared" si="1"/>
        <v>6</v>
      </c>
      <c r="Q48">
        <f t="shared" si="2"/>
        <v>2024</v>
      </c>
    </row>
    <row r="49" spans="1:17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19</v>
      </c>
      <c r="P49">
        <f t="shared" si="1"/>
        <v>7</v>
      </c>
      <c r="Q49">
        <f t="shared" si="2"/>
        <v>2023</v>
      </c>
    </row>
    <row r="50" spans="1:17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26</v>
      </c>
      <c r="P50">
        <f t="shared" si="1"/>
        <v>8</v>
      </c>
      <c r="Q50">
        <f t="shared" si="2"/>
        <v>2023</v>
      </c>
    </row>
    <row r="51" spans="1:17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7</v>
      </c>
      <c r="P51">
        <f t="shared" si="1"/>
        <v>10</v>
      </c>
      <c r="Q51">
        <f t="shared" si="2"/>
        <v>2023</v>
      </c>
    </row>
    <row r="52" spans="1:17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31</v>
      </c>
      <c r="P52">
        <f t="shared" si="1"/>
        <v>7</v>
      </c>
      <c r="Q52">
        <f t="shared" si="2"/>
        <v>2023</v>
      </c>
    </row>
    <row r="53" spans="1:17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30</v>
      </c>
      <c r="P53">
        <f t="shared" si="1"/>
        <v>12</v>
      </c>
      <c r="Q53">
        <f t="shared" si="2"/>
        <v>2024</v>
      </c>
    </row>
    <row r="54" spans="1:17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8</v>
      </c>
      <c r="P54">
        <f t="shared" si="1"/>
        <v>9</v>
      </c>
      <c r="Q54">
        <f t="shared" si="2"/>
        <v>2024</v>
      </c>
    </row>
    <row r="55" spans="1:17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18</v>
      </c>
      <c r="P55">
        <f t="shared" si="1"/>
        <v>5</v>
      </c>
      <c r="Q55">
        <f t="shared" si="2"/>
        <v>2024</v>
      </c>
    </row>
    <row r="56" spans="1:17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27</v>
      </c>
      <c r="P56">
        <f t="shared" si="1"/>
        <v>3</v>
      </c>
      <c r="Q56">
        <f t="shared" si="2"/>
        <v>2025</v>
      </c>
    </row>
    <row r="57" spans="1:17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24</v>
      </c>
      <c r="P57">
        <f t="shared" si="1"/>
        <v>6</v>
      </c>
      <c r="Q57">
        <f t="shared" si="2"/>
        <v>2025</v>
      </c>
    </row>
    <row r="58" spans="1:17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21</v>
      </c>
      <c r="P58">
        <f t="shared" si="1"/>
        <v>5</v>
      </c>
      <c r="Q58">
        <f t="shared" si="2"/>
        <v>2023</v>
      </c>
    </row>
    <row r="59" spans="1:17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22</v>
      </c>
      <c r="P59">
        <f t="shared" si="1"/>
        <v>1</v>
      </c>
      <c r="Q59">
        <f t="shared" si="2"/>
        <v>2023</v>
      </c>
    </row>
    <row r="60" spans="1:17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15</v>
      </c>
      <c r="P60">
        <f t="shared" si="1"/>
        <v>1</v>
      </c>
      <c r="Q60">
        <f t="shared" si="2"/>
        <v>2023</v>
      </c>
    </row>
    <row r="61" spans="1:17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11</v>
      </c>
      <c r="P61">
        <f t="shared" si="1"/>
        <v>9</v>
      </c>
      <c r="Q61">
        <f t="shared" si="2"/>
        <v>2024</v>
      </c>
    </row>
    <row r="62" spans="1:17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21</v>
      </c>
      <c r="P62">
        <f t="shared" si="1"/>
        <v>8</v>
      </c>
      <c r="Q62">
        <f t="shared" si="2"/>
        <v>2024</v>
      </c>
    </row>
    <row r="63" spans="1:17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24</v>
      </c>
      <c r="P63">
        <f t="shared" si="1"/>
        <v>3</v>
      </c>
      <c r="Q63">
        <f t="shared" si="2"/>
        <v>2024</v>
      </c>
    </row>
    <row r="64" spans="1:17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22</v>
      </c>
      <c r="P64">
        <f t="shared" si="1"/>
        <v>8</v>
      </c>
      <c r="Q64">
        <f t="shared" si="2"/>
        <v>2023</v>
      </c>
    </row>
    <row r="65" spans="1:17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2</v>
      </c>
      <c r="P65">
        <f t="shared" si="1"/>
        <v>2</v>
      </c>
      <c r="Q65">
        <f t="shared" si="2"/>
        <v>2025</v>
      </c>
    </row>
    <row r="66" spans="1:17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ref="O66:O129" si="3">DAY(B66)</f>
        <v>25</v>
      </c>
      <c r="P66">
        <f t="shared" ref="P66:P129" si="4">MONTH(B66)</f>
        <v>6</v>
      </c>
      <c r="Q66">
        <f t="shared" ref="Q66:Q129" si="5">YEAR(B66)</f>
        <v>2025</v>
      </c>
    </row>
    <row r="67" spans="1:17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si="3"/>
        <v>30</v>
      </c>
      <c r="P67">
        <f t="shared" si="4"/>
        <v>12</v>
      </c>
      <c r="Q67">
        <f t="shared" si="5"/>
        <v>2023</v>
      </c>
    </row>
    <row r="68" spans="1:17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</v>
      </c>
      <c r="O68">
        <f t="shared" si="3"/>
        <v>15</v>
      </c>
      <c r="P68">
        <f t="shared" si="4"/>
        <v>11</v>
      </c>
      <c r="Q68">
        <f t="shared" si="5"/>
        <v>2024</v>
      </c>
    </row>
    <row r="69" spans="1:17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3"/>
        <v>9</v>
      </c>
      <c r="P69">
        <f t="shared" si="4"/>
        <v>12</v>
      </c>
      <c r="Q69">
        <f t="shared" si="5"/>
        <v>2024</v>
      </c>
    </row>
    <row r="70" spans="1:17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3"/>
        <v>11</v>
      </c>
      <c r="P70">
        <f t="shared" si="4"/>
        <v>12</v>
      </c>
      <c r="Q70">
        <f t="shared" si="5"/>
        <v>2023</v>
      </c>
    </row>
    <row r="71" spans="1:17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3"/>
        <v>11</v>
      </c>
      <c r="P71">
        <f t="shared" si="4"/>
        <v>5</v>
      </c>
      <c r="Q71">
        <f t="shared" si="5"/>
        <v>2023</v>
      </c>
    </row>
    <row r="72" spans="1:17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3"/>
        <v>26</v>
      </c>
      <c r="P72">
        <f t="shared" si="4"/>
        <v>5</v>
      </c>
      <c r="Q72">
        <f t="shared" si="5"/>
        <v>2023</v>
      </c>
    </row>
    <row r="73" spans="1:17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3"/>
        <v>10</v>
      </c>
      <c r="P73">
        <f t="shared" si="4"/>
        <v>6</v>
      </c>
      <c r="Q73">
        <f t="shared" si="5"/>
        <v>2025</v>
      </c>
    </row>
    <row r="74" spans="1:17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3"/>
        <v>22</v>
      </c>
      <c r="P74">
        <f t="shared" si="4"/>
        <v>12</v>
      </c>
      <c r="Q74">
        <f t="shared" si="5"/>
        <v>2024</v>
      </c>
    </row>
    <row r="75" spans="1:17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3"/>
        <v>3</v>
      </c>
      <c r="P75">
        <f t="shared" si="4"/>
        <v>5</v>
      </c>
      <c r="Q75">
        <f t="shared" si="5"/>
        <v>2023</v>
      </c>
    </row>
    <row r="76" spans="1:17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3"/>
        <v>24</v>
      </c>
      <c r="P76">
        <f t="shared" si="4"/>
        <v>6</v>
      </c>
      <c r="Q76">
        <f t="shared" si="5"/>
        <v>2023</v>
      </c>
    </row>
    <row r="77" spans="1:17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3"/>
        <v>26</v>
      </c>
      <c r="P77">
        <f t="shared" si="4"/>
        <v>9</v>
      </c>
      <c r="Q77">
        <f t="shared" si="5"/>
        <v>2023</v>
      </c>
    </row>
    <row r="78" spans="1:17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3"/>
        <v>31</v>
      </c>
      <c r="P78">
        <f t="shared" si="4"/>
        <v>3</v>
      </c>
      <c r="Q78">
        <f t="shared" si="5"/>
        <v>2024</v>
      </c>
    </row>
    <row r="79" spans="1:17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3"/>
        <v>24</v>
      </c>
      <c r="P79">
        <f t="shared" si="4"/>
        <v>5</v>
      </c>
      <c r="Q79">
        <f t="shared" si="5"/>
        <v>2024</v>
      </c>
    </row>
    <row r="80" spans="1:17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3"/>
        <v>6</v>
      </c>
      <c r="P80">
        <f t="shared" si="4"/>
        <v>8</v>
      </c>
      <c r="Q80">
        <f t="shared" si="5"/>
        <v>2024</v>
      </c>
    </row>
    <row r="81" spans="1:17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3"/>
        <v>10</v>
      </c>
      <c r="P81">
        <f t="shared" si="4"/>
        <v>3</v>
      </c>
      <c r="Q81">
        <f t="shared" si="5"/>
        <v>2025</v>
      </c>
    </row>
    <row r="82" spans="1:17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3"/>
        <v>27</v>
      </c>
      <c r="P82">
        <f t="shared" si="4"/>
        <v>6</v>
      </c>
      <c r="Q82">
        <f t="shared" si="5"/>
        <v>2023</v>
      </c>
    </row>
    <row r="83" spans="1:17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3"/>
        <v>8</v>
      </c>
      <c r="P83">
        <f t="shared" si="4"/>
        <v>6</v>
      </c>
      <c r="Q83">
        <f t="shared" si="5"/>
        <v>2023</v>
      </c>
    </row>
    <row r="84" spans="1:17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3"/>
        <v>5</v>
      </c>
      <c r="P84">
        <f t="shared" si="4"/>
        <v>1</v>
      </c>
      <c r="Q84">
        <f t="shared" si="5"/>
        <v>2024</v>
      </c>
    </row>
    <row r="85" spans="1:17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3"/>
        <v>22</v>
      </c>
      <c r="P85">
        <f t="shared" si="4"/>
        <v>8</v>
      </c>
      <c r="Q85">
        <f t="shared" si="5"/>
        <v>2023</v>
      </c>
    </row>
    <row r="86" spans="1:17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3"/>
        <v>28</v>
      </c>
      <c r="P86">
        <f t="shared" si="4"/>
        <v>8</v>
      </c>
      <c r="Q86">
        <f t="shared" si="5"/>
        <v>2023</v>
      </c>
    </row>
    <row r="87" spans="1:17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440.19</v>
      </c>
      <c r="O87">
        <f t="shared" si="3"/>
        <v>9</v>
      </c>
      <c r="P87">
        <f t="shared" si="4"/>
        <v>9</v>
      </c>
      <c r="Q87">
        <f t="shared" si="5"/>
        <v>2024</v>
      </c>
    </row>
    <row r="88" spans="1:17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3"/>
        <v>19</v>
      </c>
      <c r="P88">
        <f t="shared" si="4"/>
        <v>6</v>
      </c>
      <c r="Q88">
        <f t="shared" si="5"/>
        <v>2024</v>
      </c>
    </row>
    <row r="89" spans="1:17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3"/>
        <v>10</v>
      </c>
      <c r="P89">
        <f t="shared" si="4"/>
        <v>10</v>
      </c>
      <c r="Q89">
        <f t="shared" si="5"/>
        <v>2024</v>
      </c>
    </row>
    <row r="90" spans="1:17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3"/>
        <v>5</v>
      </c>
      <c r="P90">
        <f t="shared" si="4"/>
        <v>6</v>
      </c>
      <c r="Q90">
        <f t="shared" si="5"/>
        <v>2025</v>
      </c>
    </row>
    <row r="91" spans="1:17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3"/>
        <v>25</v>
      </c>
      <c r="P91">
        <f t="shared" si="4"/>
        <v>2</v>
      </c>
      <c r="Q91">
        <f t="shared" si="5"/>
        <v>2025</v>
      </c>
    </row>
    <row r="92" spans="1:17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3"/>
        <v>18</v>
      </c>
      <c r="P92">
        <f t="shared" si="4"/>
        <v>9</v>
      </c>
      <c r="Q92">
        <f t="shared" si="5"/>
        <v>2023</v>
      </c>
    </row>
    <row r="93" spans="1:17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3"/>
        <v>15</v>
      </c>
      <c r="P93">
        <f t="shared" si="4"/>
        <v>3</v>
      </c>
      <c r="Q93">
        <f t="shared" si="5"/>
        <v>2023</v>
      </c>
    </row>
    <row r="94" spans="1:17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3"/>
        <v>10</v>
      </c>
      <c r="P94">
        <f t="shared" si="4"/>
        <v>6</v>
      </c>
      <c r="Q94">
        <f t="shared" si="5"/>
        <v>2024</v>
      </c>
    </row>
    <row r="95" spans="1:17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3"/>
        <v>14</v>
      </c>
      <c r="P95">
        <f t="shared" si="4"/>
        <v>1</v>
      </c>
      <c r="Q95">
        <f t="shared" si="5"/>
        <v>2023</v>
      </c>
    </row>
    <row r="96" spans="1:17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3"/>
        <v>11</v>
      </c>
      <c r="P96">
        <f t="shared" si="4"/>
        <v>2</v>
      </c>
      <c r="Q96">
        <f t="shared" si="5"/>
        <v>2023</v>
      </c>
    </row>
    <row r="97" spans="1:17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3"/>
        <v>24</v>
      </c>
      <c r="P97">
        <f t="shared" si="4"/>
        <v>3</v>
      </c>
      <c r="Q97">
        <f t="shared" si="5"/>
        <v>2023</v>
      </c>
    </row>
    <row r="98" spans="1:17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3"/>
        <v>1</v>
      </c>
      <c r="P98">
        <f t="shared" si="4"/>
        <v>6</v>
      </c>
      <c r="Q98">
        <f t="shared" si="5"/>
        <v>2024</v>
      </c>
    </row>
    <row r="99" spans="1:17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3"/>
        <v>21</v>
      </c>
      <c r="P99">
        <f t="shared" si="4"/>
        <v>1</v>
      </c>
      <c r="Q99">
        <f t="shared" si="5"/>
        <v>2025</v>
      </c>
    </row>
    <row r="100" spans="1:17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3"/>
        <v>14</v>
      </c>
      <c r="P100">
        <f t="shared" si="4"/>
        <v>1</v>
      </c>
      <c r="Q100">
        <f t="shared" si="5"/>
        <v>2023</v>
      </c>
    </row>
    <row r="101" spans="1:17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3"/>
        <v>12</v>
      </c>
      <c r="P101">
        <f t="shared" si="4"/>
        <v>4</v>
      </c>
      <c r="Q101">
        <f t="shared" si="5"/>
        <v>2025</v>
      </c>
    </row>
    <row r="102" spans="1:17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3"/>
        <v>17</v>
      </c>
      <c r="P102">
        <f t="shared" si="4"/>
        <v>2</v>
      </c>
      <c r="Q102">
        <f t="shared" si="5"/>
        <v>2023</v>
      </c>
    </row>
    <row r="103" spans="1:17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3"/>
        <v>25</v>
      </c>
      <c r="P103">
        <f t="shared" si="4"/>
        <v>11</v>
      </c>
      <c r="Q103">
        <f t="shared" si="5"/>
        <v>2023</v>
      </c>
    </row>
    <row r="104" spans="1:17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3"/>
        <v>8</v>
      </c>
      <c r="P104">
        <f t="shared" si="4"/>
        <v>3</v>
      </c>
      <c r="Q104">
        <f t="shared" si="5"/>
        <v>2023</v>
      </c>
    </row>
    <row r="105" spans="1:17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3"/>
        <v>25</v>
      </c>
      <c r="P105">
        <f t="shared" si="4"/>
        <v>1</v>
      </c>
      <c r="Q105">
        <f t="shared" si="5"/>
        <v>2025</v>
      </c>
    </row>
    <row r="106" spans="1:17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3"/>
        <v>30</v>
      </c>
      <c r="P106">
        <f t="shared" si="4"/>
        <v>7</v>
      </c>
      <c r="Q106">
        <f t="shared" si="5"/>
        <v>2024</v>
      </c>
    </row>
    <row r="107" spans="1:17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3"/>
        <v>24</v>
      </c>
      <c r="P107">
        <f t="shared" si="4"/>
        <v>10</v>
      </c>
      <c r="Q107">
        <f t="shared" si="5"/>
        <v>2024</v>
      </c>
    </row>
    <row r="108" spans="1:17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3"/>
        <v>8</v>
      </c>
      <c r="P108">
        <f t="shared" si="4"/>
        <v>9</v>
      </c>
      <c r="Q108">
        <f t="shared" si="5"/>
        <v>2023</v>
      </c>
    </row>
    <row r="109" spans="1:17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3"/>
        <v>27</v>
      </c>
      <c r="P109">
        <f t="shared" si="4"/>
        <v>3</v>
      </c>
      <c r="Q109">
        <f t="shared" si="5"/>
        <v>2023</v>
      </c>
    </row>
    <row r="110" spans="1:17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3"/>
        <v>28</v>
      </c>
      <c r="P110">
        <f t="shared" si="4"/>
        <v>12</v>
      </c>
      <c r="Q110">
        <f t="shared" si="5"/>
        <v>2024</v>
      </c>
    </row>
    <row r="111" spans="1:17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3"/>
        <v>17</v>
      </c>
      <c r="P111">
        <f t="shared" si="4"/>
        <v>9</v>
      </c>
      <c r="Q111">
        <f t="shared" si="5"/>
        <v>2023</v>
      </c>
    </row>
    <row r="112" spans="1:17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3"/>
        <v>21</v>
      </c>
      <c r="P112">
        <f t="shared" si="4"/>
        <v>4</v>
      </c>
      <c r="Q112">
        <f t="shared" si="5"/>
        <v>2024</v>
      </c>
    </row>
    <row r="113" spans="1:17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</v>
      </c>
      <c r="O113">
        <f t="shared" si="3"/>
        <v>7</v>
      </c>
      <c r="P113">
        <f t="shared" si="4"/>
        <v>5</v>
      </c>
      <c r="Q113">
        <f t="shared" si="5"/>
        <v>2025</v>
      </c>
    </row>
    <row r="114" spans="1:17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3"/>
        <v>1</v>
      </c>
      <c r="P114">
        <f t="shared" si="4"/>
        <v>1</v>
      </c>
      <c r="Q114">
        <f t="shared" si="5"/>
        <v>2023</v>
      </c>
    </row>
    <row r="115" spans="1:17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</v>
      </c>
      <c r="O115">
        <f t="shared" si="3"/>
        <v>17</v>
      </c>
      <c r="P115">
        <f t="shared" si="4"/>
        <v>1</v>
      </c>
      <c r="Q115">
        <f t="shared" si="5"/>
        <v>2024</v>
      </c>
    </row>
    <row r="116" spans="1:17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3"/>
        <v>27</v>
      </c>
      <c r="P116">
        <f t="shared" si="4"/>
        <v>1</v>
      </c>
      <c r="Q116">
        <f t="shared" si="5"/>
        <v>2025</v>
      </c>
    </row>
    <row r="117" spans="1:17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3"/>
        <v>27</v>
      </c>
      <c r="P117">
        <f t="shared" si="4"/>
        <v>11</v>
      </c>
      <c r="Q117">
        <f t="shared" si="5"/>
        <v>2023</v>
      </c>
    </row>
    <row r="118" spans="1:17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3"/>
        <v>19</v>
      </c>
      <c r="P118">
        <f t="shared" si="4"/>
        <v>3</v>
      </c>
      <c r="Q118">
        <f t="shared" si="5"/>
        <v>2023</v>
      </c>
    </row>
    <row r="119" spans="1:17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3"/>
        <v>8</v>
      </c>
      <c r="P119">
        <f t="shared" si="4"/>
        <v>3</v>
      </c>
      <c r="Q119">
        <f t="shared" si="5"/>
        <v>2023</v>
      </c>
    </row>
    <row r="120" spans="1:17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3"/>
        <v>9</v>
      </c>
      <c r="P120">
        <f t="shared" si="4"/>
        <v>10</v>
      </c>
      <c r="Q120">
        <f t="shared" si="5"/>
        <v>2023</v>
      </c>
    </row>
    <row r="121" spans="1:17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3"/>
        <v>11</v>
      </c>
      <c r="P121">
        <f t="shared" si="4"/>
        <v>6</v>
      </c>
      <c r="Q121">
        <f t="shared" si="5"/>
        <v>2025</v>
      </c>
    </row>
    <row r="122" spans="1:17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3"/>
        <v>11</v>
      </c>
      <c r="P122">
        <f t="shared" si="4"/>
        <v>4</v>
      </c>
      <c r="Q122">
        <f t="shared" si="5"/>
        <v>2023</v>
      </c>
    </row>
    <row r="123" spans="1:17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3"/>
        <v>30</v>
      </c>
      <c r="P123">
        <f t="shared" si="4"/>
        <v>11</v>
      </c>
      <c r="Q123">
        <f t="shared" si="5"/>
        <v>2023</v>
      </c>
    </row>
    <row r="124" spans="1:17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3"/>
        <v>15</v>
      </c>
      <c r="P124">
        <f t="shared" si="4"/>
        <v>4</v>
      </c>
      <c r="Q124">
        <f t="shared" si="5"/>
        <v>2024</v>
      </c>
    </row>
    <row r="125" spans="1:17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</v>
      </c>
      <c r="O125">
        <f t="shared" si="3"/>
        <v>6</v>
      </c>
      <c r="P125">
        <f t="shared" si="4"/>
        <v>7</v>
      </c>
      <c r="Q125">
        <f t="shared" si="5"/>
        <v>2023</v>
      </c>
    </row>
    <row r="126" spans="1:17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3"/>
        <v>28</v>
      </c>
      <c r="P126">
        <f t="shared" si="4"/>
        <v>7</v>
      </c>
      <c r="Q126">
        <f t="shared" si="5"/>
        <v>2024</v>
      </c>
    </row>
    <row r="127" spans="1:17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3"/>
        <v>6</v>
      </c>
      <c r="P127">
        <f t="shared" si="4"/>
        <v>11</v>
      </c>
      <c r="Q127">
        <f t="shared" si="5"/>
        <v>2024</v>
      </c>
    </row>
    <row r="128" spans="1:17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3"/>
        <v>3</v>
      </c>
      <c r="P128">
        <f t="shared" si="4"/>
        <v>5</v>
      </c>
      <c r="Q128">
        <f t="shared" si="5"/>
        <v>2025</v>
      </c>
    </row>
    <row r="129" spans="1:17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3"/>
        <v>10</v>
      </c>
      <c r="P129">
        <f t="shared" si="4"/>
        <v>8</v>
      </c>
      <c r="Q129">
        <f t="shared" si="5"/>
        <v>2023</v>
      </c>
    </row>
    <row r="130" spans="1:17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ref="O130:O193" si="6">DAY(B130)</f>
        <v>17</v>
      </c>
      <c r="P130">
        <f t="shared" ref="P130:P193" si="7">MONTH(B130)</f>
        <v>2</v>
      </c>
      <c r="Q130">
        <f t="shared" ref="Q130:Q193" si="8">YEAR(B130)</f>
        <v>2023</v>
      </c>
    </row>
    <row r="131" spans="1:17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si="6"/>
        <v>27</v>
      </c>
      <c r="P131">
        <f t="shared" si="7"/>
        <v>10</v>
      </c>
      <c r="Q131">
        <f t="shared" si="8"/>
        <v>2023</v>
      </c>
    </row>
    <row r="132" spans="1:17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6"/>
        <v>22</v>
      </c>
      <c r="P132">
        <f t="shared" si="7"/>
        <v>1</v>
      </c>
      <c r="Q132">
        <f t="shared" si="8"/>
        <v>2025</v>
      </c>
    </row>
    <row r="133" spans="1:17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6"/>
        <v>8</v>
      </c>
      <c r="P133">
        <f t="shared" si="7"/>
        <v>1</v>
      </c>
      <c r="Q133">
        <f t="shared" si="8"/>
        <v>2023</v>
      </c>
    </row>
    <row r="134" spans="1:17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6"/>
        <v>28</v>
      </c>
      <c r="P134">
        <f t="shared" si="7"/>
        <v>3</v>
      </c>
      <c r="Q134">
        <f t="shared" si="8"/>
        <v>2023</v>
      </c>
    </row>
    <row r="135" spans="1:17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6"/>
        <v>20</v>
      </c>
      <c r="P135">
        <f t="shared" si="7"/>
        <v>6</v>
      </c>
      <c r="Q135">
        <f t="shared" si="8"/>
        <v>2025</v>
      </c>
    </row>
    <row r="136" spans="1:17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6"/>
        <v>23</v>
      </c>
      <c r="P136">
        <f t="shared" si="7"/>
        <v>6</v>
      </c>
      <c r="Q136">
        <f t="shared" si="8"/>
        <v>2025</v>
      </c>
    </row>
    <row r="137" spans="1:17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6"/>
        <v>4</v>
      </c>
      <c r="P137">
        <f t="shared" si="7"/>
        <v>8</v>
      </c>
      <c r="Q137">
        <f t="shared" si="8"/>
        <v>2023</v>
      </c>
    </row>
    <row r="138" spans="1:17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6"/>
        <v>27</v>
      </c>
      <c r="P138">
        <f t="shared" si="7"/>
        <v>4</v>
      </c>
      <c r="Q138">
        <f t="shared" si="8"/>
        <v>2024</v>
      </c>
    </row>
    <row r="139" spans="1:17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6"/>
        <v>26</v>
      </c>
      <c r="P139">
        <f t="shared" si="7"/>
        <v>11</v>
      </c>
      <c r="Q139">
        <f t="shared" si="8"/>
        <v>2024</v>
      </c>
    </row>
    <row r="140" spans="1:17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6"/>
        <v>21</v>
      </c>
      <c r="P140">
        <f t="shared" si="7"/>
        <v>12</v>
      </c>
      <c r="Q140">
        <f t="shared" si="8"/>
        <v>2023</v>
      </c>
    </row>
    <row r="141" spans="1:17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6"/>
        <v>10</v>
      </c>
      <c r="P141">
        <f t="shared" si="7"/>
        <v>4</v>
      </c>
      <c r="Q141">
        <f t="shared" si="8"/>
        <v>2023</v>
      </c>
    </row>
    <row r="142" spans="1:17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6"/>
        <v>31</v>
      </c>
      <c r="P142">
        <f t="shared" si="7"/>
        <v>5</v>
      </c>
      <c r="Q142">
        <f t="shared" si="8"/>
        <v>2025</v>
      </c>
    </row>
    <row r="143" spans="1:17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6"/>
        <v>18</v>
      </c>
      <c r="P143">
        <f t="shared" si="7"/>
        <v>11</v>
      </c>
      <c r="Q143">
        <f t="shared" si="8"/>
        <v>2023</v>
      </c>
    </row>
    <row r="144" spans="1:17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6"/>
        <v>6</v>
      </c>
      <c r="P144">
        <f t="shared" si="7"/>
        <v>9</v>
      </c>
      <c r="Q144">
        <f t="shared" si="8"/>
        <v>2023</v>
      </c>
    </row>
    <row r="145" spans="1:17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6"/>
        <v>13</v>
      </c>
      <c r="P145">
        <f t="shared" si="7"/>
        <v>6</v>
      </c>
      <c r="Q145">
        <f t="shared" si="8"/>
        <v>2024</v>
      </c>
    </row>
    <row r="146" spans="1:17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6"/>
        <v>4</v>
      </c>
      <c r="P146">
        <f t="shared" si="7"/>
        <v>8</v>
      </c>
      <c r="Q146">
        <f t="shared" si="8"/>
        <v>2023</v>
      </c>
    </row>
    <row r="147" spans="1:17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6"/>
        <v>2</v>
      </c>
      <c r="P147">
        <f t="shared" si="7"/>
        <v>3</v>
      </c>
      <c r="Q147">
        <f t="shared" si="8"/>
        <v>2024</v>
      </c>
    </row>
    <row r="148" spans="1:17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6"/>
        <v>30</v>
      </c>
      <c r="P148">
        <f t="shared" si="7"/>
        <v>4</v>
      </c>
      <c r="Q148">
        <f t="shared" si="8"/>
        <v>2025</v>
      </c>
    </row>
    <row r="149" spans="1:17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6"/>
        <v>6</v>
      </c>
      <c r="P149">
        <f t="shared" si="7"/>
        <v>5</v>
      </c>
      <c r="Q149">
        <f t="shared" si="8"/>
        <v>2025</v>
      </c>
    </row>
    <row r="150" spans="1:17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6"/>
        <v>15</v>
      </c>
      <c r="P150">
        <f t="shared" si="7"/>
        <v>12</v>
      </c>
      <c r="Q150">
        <f t="shared" si="8"/>
        <v>2024</v>
      </c>
    </row>
    <row r="151" spans="1:17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6"/>
        <v>27</v>
      </c>
      <c r="P151">
        <f t="shared" si="7"/>
        <v>12</v>
      </c>
      <c r="Q151">
        <f t="shared" si="8"/>
        <v>2023</v>
      </c>
    </row>
    <row r="152" spans="1:17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6"/>
        <v>13</v>
      </c>
      <c r="P152">
        <f t="shared" si="7"/>
        <v>12</v>
      </c>
      <c r="Q152">
        <f t="shared" si="8"/>
        <v>2023</v>
      </c>
    </row>
    <row r="153" spans="1:17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6"/>
        <v>1</v>
      </c>
      <c r="P153">
        <f t="shared" si="7"/>
        <v>12</v>
      </c>
      <c r="Q153">
        <f t="shared" si="8"/>
        <v>2023</v>
      </c>
    </row>
    <row r="154" spans="1:17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6"/>
        <v>2</v>
      </c>
      <c r="P154">
        <f t="shared" si="7"/>
        <v>1</v>
      </c>
      <c r="Q154">
        <f t="shared" si="8"/>
        <v>2025</v>
      </c>
    </row>
    <row r="155" spans="1:17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6"/>
        <v>18</v>
      </c>
      <c r="P155">
        <f t="shared" si="7"/>
        <v>12</v>
      </c>
      <c r="Q155">
        <f t="shared" si="8"/>
        <v>2024</v>
      </c>
    </row>
    <row r="156" spans="1:17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6"/>
        <v>20</v>
      </c>
      <c r="P156">
        <f t="shared" si="7"/>
        <v>7</v>
      </c>
      <c r="Q156">
        <f t="shared" si="8"/>
        <v>2023</v>
      </c>
    </row>
    <row r="157" spans="1:17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6"/>
        <v>27</v>
      </c>
      <c r="P157">
        <f t="shared" si="7"/>
        <v>2</v>
      </c>
      <c r="Q157">
        <f t="shared" si="8"/>
        <v>2023</v>
      </c>
    </row>
    <row r="158" spans="1:17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6"/>
        <v>8</v>
      </c>
      <c r="P158">
        <f t="shared" si="7"/>
        <v>11</v>
      </c>
      <c r="Q158">
        <f t="shared" si="8"/>
        <v>2024</v>
      </c>
    </row>
    <row r="159" spans="1:17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6"/>
        <v>21</v>
      </c>
      <c r="P159">
        <f t="shared" si="7"/>
        <v>2</v>
      </c>
      <c r="Q159">
        <f t="shared" si="8"/>
        <v>2025</v>
      </c>
    </row>
    <row r="160" spans="1:17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6"/>
        <v>16</v>
      </c>
      <c r="P160">
        <f t="shared" si="7"/>
        <v>5</v>
      </c>
      <c r="Q160">
        <f t="shared" si="8"/>
        <v>2024</v>
      </c>
    </row>
    <row r="161" spans="1:17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6"/>
        <v>31</v>
      </c>
      <c r="P161">
        <f t="shared" si="7"/>
        <v>10</v>
      </c>
      <c r="Q161">
        <f t="shared" si="8"/>
        <v>2023</v>
      </c>
    </row>
    <row r="162" spans="1:17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6"/>
        <v>17</v>
      </c>
      <c r="P162">
        <f t="shared" si="7"/>
        <v>2</v>
      </c>
      <c r="Q162">
        <f t="shared" si="8"/>
        <v>2023</v>
      </c>
    </row>
    <row r="163" spans="1:17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6"/>
        <v>29</v>
      </c>
      <c r="P163">
        <f t="shared" si="7"/>
        <v>3</v>
      </c>
      <c r="Q163">
        <f t="shared" si="8"/>
        <v>2024</v>
      </c>
    </row>
    <row r="164" spans="1:17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6"/>
        <v>27</v>
      </c>
      <c r="P164">
        <f t="shared" si="7"/>
        <v>7</v>
      </c>
      <c r="Q164">
        <f t="shared" si="8"/>
        <v>2023</v>
      </c>
    </row>
    <row r="165" spans="1:17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6"/>
        <v>24</v>
      </c>
      <c r="P165">
        <f t="shared" si="7"/>
        <v>6</v>
      </c>
      <c r="Q165">
        <f t="shared" si="8"/>
        <v>2025</v>
      </c>
    </row>
    <row r="166" spans="1:17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6"/>
        <v>28</v>
      </c>
      <c r="P166">
        <f t="shared" si="7"/>
        <v>12</v>
      </c>
      <c r="Q166">
        <f t="shared" si="8"/>
        <v>2023</v>
      </c>
    </row>
    <row r="167" spans="1:17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6"/>
        <v>14</v>
      </c>
      <c r="P167">
        <f t="shared" si="7"/>
        <v>9</v>
      </c>
      <c r="Q167">
        <f t="shared" si="8"/>
        <v>2024</v>
      </c>
    </row>
    <row r="168" spans="1:17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6"/>
        <v>4</v>
      </c>
      <c r="P168">
        <f t="shared" si="7"/>
        <v>3</v>
      </c>
      <c r="Q168">
        <f t="shared" si="8"/>
        <v>2025</v>
      </c>
    </row>
    <row r="169" spans="1:17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6"/>
        <v>27</v>
      </c>
      <c r="P169">
        <f t="shared" si="7"/>
        <v>5</v>
      </c>
      <c r="Q169">
        <f t="shared" si="8"/>
        <v>2023</v>
      </c>
    </row>
    <row r="170" spans="1:17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6"/>
        <v>4</v>
      </c>
      <c r="P170">
        <f t="shared" si="7"/>
        <v>1</v>
      </c>
      <c r="Q170">
        <f t="shared" si="8"/>
        <v>2025</v>
      </c>
    </row>
    <row r="171" spans="1:17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6"/>
        <v>7</v>
      </c>
      <c r="P171">
        <f t="shared" si="7"/>
        <v>4</v>
      </c>
      <c r="Q171">
        <f t="shared" si="8"/>
        <v>2024</v>
      </c>
    </row>
    <row r="172" spans="1:17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6"/>
        <v>4</v>
      </c>
      <c r="P172">
        <f t="shared" si="7"/>
        <v>4</v>
      </c>
      <c r="Q172">
        <f t="shared" si="8"/>
        <v>2025</v>
      </c>
    </row>
    <row r="173" spans="1:17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6"/>
        <v>15</v>
      </c>
      <c r="P173">
        <f t="shared" si="7"/>
        <v>8</v>
      </c>
      <c r="Q173">
        <f t="shared" si="8"/>
        <v>2023</v>
      </c>
    </row>
    <row r="174" spans="1:17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6"/>
        <v>6</v>
      </c>
      <c r="P174">
        <f t="shared" si="7"/>
        <v>4</v>
      </c>
      <c r="Q174">
        <f t="shared" si="8"/>
        <v>2025</v>
      </c>
    </row>
    <row r="175" spans="1:17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6"/>
        <v>24</v>
      </c>
      <c r="P175">
        <f t="shared" si="7"/>
        <v>3</v>
      </c>
      <c r="Q175">
        <f t="shared" si="8"/>
        <v>2024</v>
      </c>
    </row>
    <row r="176" spans="1:17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6"/>
        <v>16</v>
      </c>
      <c r="P176">
        <f t="shared" si="7"/>
        <v>4</v>
      </c>
      <c r="Q176">
        <f t="shared" si="8"/>
        <v>2024</v>
      </c>
    </row>
    <row r="177" spans="1:17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6"/>
        <v>8</v>
      </c>
      <c r="P177">
        <f t="shared" si="7"/>
        <v>2</v>
      </c>
      <c r="Q177">
        <f t="shared" si="8"/>
        <v>2025</v>
      </c>
    </row>
    <row r="178" spans="1:17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6"/>
        <v>28</v>
      </c>
      <c r="P178">
        <f t="shared" si="7"/>
        <v>6</v>
      </c>
      <c r="Q178">
        <f t="shared" si="8"/>
        <v>2025</v>
      </c>
    </row>
    <row r="179" spans="1:17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6"/>
        <v>5</v>
      </c>
      <c r="P179">
        <f t="shared" si="7"/>
        <v>8</v>
      </c>
      <c r="Q179">
        <f t="shared" si="8"/>
        <v>2023</v>
      </c>
    </row>
    <row r="180" spans="1:17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6"/>
        <v>11</v>
      </c>
      <c r="P180">
        <f t="shared" si="7"/>
        <v>4</v>
      </c>
      <c r="Q180">
        <f t="shared" si="8"/>
        <v>2024</v>
      </c>
    </row>
    <row r="181" spans="1:17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6"/>
        <v>24</v>
      </c>
      <c r="P181">
        <f t="shared" si="7"/>
        <v>11</v>
      </c>
      <c r="Q181">
        <f t="shared" si="8"/>
        <v>2024</v>
      </c>
    </row>
    <row r="182" spans="1:17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6"/>
        <v>18</v>
      </c>
      <c r="P182">
        <f t="shared" si="7"/>
        <v>3</v>
      </c>
      <c r="Q182">
        <f t="shared" si="8"/>
        <v>2023</v>
      </c>
    </row>
    <row r="183" spans="1:17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6"/>
        <v>31</v>
      </c>
      <c r="P183">
        <f t="shared" si="7"/>
        <v>8</v>
      </c>
      <c r="Q183">
        <f t="shared" si="8"/>
        <v>2024</v>
      </c>
    </row>
    <row r="184" spans="1:17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6"/>
        <v>19</v>
      </c>
      <c r="P184">
        <f t="shared" si="7"/>
        <v>3</v>
      </c>
      <c r="Q184">
        <f t="shared" si="8"/>
        <v>2025</v>
      </c>
    </row>
    <row r="185" spans="1:17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6"/>
        <v>18</v>
      </c>
      <c r="P185">
        <f t="shared" si="7"/>
        <v>4</v>
      </c>
      <c r="Q185">
        <f t="shared" si="8"/>
        <v>2024</v>
      </c>
    </row>
    <row r="186" spans="1:17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6"/>
        <v>4</v>
      </c>
      <c r="P186">
        <f t="shared" si="7"/>
        <v>4</v>
      </c>
      <c r="Q186">
        <f t="shared" si="8"/>
        <v>2024</v>
      </c>
    </row>
    <row r="187" spans="1:17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6"/>
        <v>2</v>
      </c>
      <c r="P187">
        <f t="shared" si="7"/>
        <v>2</v>
      </c>
      <c r="Q187">
        <f t="shared" si="8"/>
        <v>2025</v>
      </c>
    </row>
    <row r="188" spans="1:17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6"/>
        <v>7</v>
      </c>
      <c r="P188">
        <f t="shared" si="7"/>
        <v>12</v>
      </c>
      <c r="Q188">
        <f t="shared" si="8"/>
        <v>2023</v>
      </c>
    </row>
    <row r="189" spans="1:17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6"/>
        <v>8</v>
      </c>
      <c r="P189">
        <f t="shared" si="7"/>
        <v>2</v>
      </c>
      <c r="Q189">
        <f t="shared" si="8"/>
        <v>2023</v>
      </c>
    </row>
    <row r="190" spans="1:17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6"/>
        <v>15</v>
      </c>
      <c r="P190">
        <f t="shared" si="7"/>
        <v>3</v>
      </c>
      <c r="Q190">
        <f t="shared" si="8"/>
        <v>2025</v>
      </c>
    </row>
    <row r="191" spans="1:17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6"/>
        <v>5</v>
      </c>
      <c r="P191">
        <f t="shared" si="7"/>
        <v>7</v>
      </c>
      <c r="Q191">
        <f t="shared" si="8"/>
        <v>2023</v>
      </c>
    </row>
    <row r="192" spans="1:17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671.1</v>
      </c>
      <c r="O192">
        <f t="shared" si="6"/>
        <v>31</v>
      </c>
      <c r="P192">
        <f t="shared" si="7"/>
        <v>8</v>
      </c>
      <c r="Q192">
        <f t="shared" si="8"/>
        <v>2024</v>
      </c>
    </row>
    <row r="193" spans="1:17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6"/>
        <v>8</v>
      </c>
      <c r="P193">
        <f t="shared" si="7"/>
        <v>3</v>
      </c>
      <c r="Q193">
        <f t="shared" si="8"/>
        <v>2025</v>
      </c>
    </row>
    <row r="194" spans="1:17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ref="O194:O257" si="9">DAY(B194)</f>
        <v>11</v>
      </c>
      <c r="P194">
        <f t="shared" ref="P194:P257" si="10">MONTH(B194)</f>
        <v>8</v>
      </c>
      <c r="Q194">
        <f t="shared" ref="Q194:Q257" si="11">YEAR(B194)</f>
        <v>2023</v>
      </c>
    </row>
    <row r="195" spans="1:17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si="9"/>
        <v>21</v>
      </c>
      <c r="P195">
        <f t="shared" si="10"/>
        <v>7</v>
      </c>
      <c r="Q195">
        <f t="shared" si="11"/>
        <v>2023</v>
      </c>
    </row>
    <row r="196" spans="1:17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9"/>
        <v>8</v>
      </c>
      <c r="P196">
        <f t="shared" si="10"/>
        <v>6</v>
      </c>
      <c r="Q196">
        <f t="shared" si="11"/>
        <v>2024</v>
      </c>
    </row>
    <row r="197" spans="1:17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9"/>
        <v>22</v>
      </c>
      <c r="P197">
        <f t="shared" si="10"/>
        <v>4</v>
      </c>
      <c r="Q197">
        <f t="shared" si="11"/>
        <v>2024</v>
      </c>
    </row>
    <row r="198" spans="1:17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9"/>
        <v>24</v>
      </c>
      <c r="P198">
        <f t="shared" si="10"/>
        <v>1</v>
      </c>
      <c r="Q198">
        <f t="shared" si="11"/>
        <v>2025</v>
      </c>
    </row>
    <row r="199" spans="1:17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9"/>
        <v>27</v>
      </c>
      <c r="P199">
        <f t="shared" si="10"/>
        <v>8</v>
      </c>
      <c r="Q199">
        <f t="shared" si="11"/>
        <v>2023</v>
      </c>
    </row>
    <row r="200" spans="1:17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9"/>
        <v>11</v>
      </c>
      <c r="P200">
        <f t="shared" si="10"/>
        <v>6</v>
      </c>
      <c r="Q200">
        <f t="shared" si="11"/>
        <v>2024</v>
      </c>
    </row>
    <row r="201" spans="1:17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9"/>
        <v>23</v>
      </c>
      <c r="P201">
        <f t="shared" si="10"/>
        <v>1</v>
      </c>
      <c r="Q201">
        <f t="shared" si="11"/>
        <v>2025</v>
      </c>
    </row>
    <row r="202" spans="1:17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9"/>
        <v>7</v>
      </c>
      <c r="P202">
        <f t="shared" si="10"/>
        <v>6</v>
      </c>
      <c r="Q202">
        <f t="shared" si="11"/>
        <v>2025</v>
      </c>
    </row>
    <row r="203" spans="1:17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9"/>
        <v>18</v>
      </c>
      <c r="P203">
        <f t="shared" si="10"/>
        <v>6</v>
      </c>
      <c r="Q203">
        <f t="shared" si="11"/>
        <v>2023</v>
      </c>
    </row>
    <row r="204" spans="1:17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761.94</v>
      </c>
      <c r="O204">
        <f t="shared" si="9"/>
        <v>6</v>
      </c>
      <c r="P204">
        <f t="shared" si="10"/>
        <v>2</v>
      </c>
      <c r="Q204">
        <f t="shared" si="11"/>
        <v>2025</v>
      </c>
    </row>
    <row r="205" spans="1:17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9"/>
        <v>21</v>
      </c>
      <c r="P205">
        <f t="shared" si="10"/>
        <v>1</v>
      </c>
      <c r="Q205">
        <f t="shared" si="11"/>
        <v>2025</v>
      </c>
    </row>
    <row r="206" spans="1:17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9"/>
        <v>5</v>
      </c>
      <c r="P206">
        <f t="shared" si="10"/>
        <v>9</v>
      </c>
      <c r="Q206">
        <f t="shared" si="11"/>
        <v>2023</v>
      </c>
    </row>
    <row r="207" spans="1:17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9"/>
        <v>4</v>
      </c>
      <c r="P207">
        <f t="shared" si="10"/>
        <v>3</v>
      </c>
      <c r="Q207">
        <f t="shared" si="11"/>
        <v>2023</v>
      </c>
    </row>
    <row r="208" spans="1:17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9"/>
        <v>16</v>
      </c>
      <c r="P208">
        <f t="shared" si="10"/>
        <v>4</v>
      </c>
      <c r="Q208">
        <f t="shared" si="11"/>
        <v>2024</v>
      </c>
    </row>
    <row r="209" spans="1:17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9"/>
        <v>18</v>
      </c>
      <c r="P209">
        <f t="shared" si="10"/>
        <v>3</v>
      </c>
      <c r="Q209">
        <f t="shared" si="11"/>
        <v>2025</v>
      </c>
    </row>
    <row r="210" spans="1:17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9"/>
        <v>8</v>
      </c>
      <c r="P210">
        <f t="shared" si="10"/>
        <v>10</v>
      </c>
      <c r="Q210">
        <f t="shared" si="11"/>
        <v>2024</v>
      </c>
    </row>
    <row r="211" spans="1:17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9"/>
        <v>29</v>
      </c>
      <c r="P211">
        <f t="shared" si="10"/>
        <v>8</v>
      </c>
      <c r="Q211">
        <f t="shared" si="11"/>
        <v>2023</v>
      </c>
    </row>
    <row r="212" spans="1:17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9"/>
        <v>5</v>
      </c>
      <c r="P212">
        <f t="shared" si="10"/>
        <v>12</v>
      </c>
      <c r="Q212">
        <f t="shared" si="11"/>
        <v>2024</v>
      </c>
    </row>
    <row r="213" spans="1:17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9"/>
        <v>3</v>
      </c>
      <c r="P213">
        <f t="shared" si="10"/>
        <v>1</v>
      </c>
      <c r="Q213">
        <f t="shared" si="11"/>
        <v>2025</v>
      </c>
    </row>
    <row r="214" spans="1:17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9"/>
        <v>20</v>
      </c>
      <c r="P214">
        <f t="shared" si="10"/>
        <v>6</v>
      </c>
      <c r="Q214">
        <f t="shared" si="11"/>
        <v>2023</v>
      </c>
    </row>
    <row r="215" spans="1:17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9"/>
        <v>20</v>
      </c>
      <c r="P215">
        <f t="shared" si="10"/>
        <v>4</v>
      </c>
      <c r="Q215">
        <f t="shared" si="11"/>
        <v>2023</v>
      </c>
    </row>
    <row r="216" spans="1:17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9"/>
        <v>21</v>
      </c>
      <c r="P216">
        <f t="shared" si="10"/>
        <v>8</v>
      </c>
      <c r="Q216">
        <f t="shared" si="11"/>
        <v>2024</v>
      </c>
    </row>
    <row r="217" spans="1:17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9"/>
        <v>10</v>
      </c>
      <c r="P217">
        <f t="shared" si="10"/>
        <v>8</v>
      </c>
      <c r="Q217">
        <f t="shared" si="11"/>
        <v>2023</v>
      </c>
    </row>
    <row r="218" spans="1:17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9"/>
        <v>15</v>
      </c>
      <c r="P218">
        <f t="shared" si="10"/>
        <v>4</v>
      </c>
      <c r="Q218">
        <f t="shared" si="11"/>
        <v>2025</v>
      </c>
    </row>
    <row r="219" spans="1:17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9"/>
        <v>20</v>
      </c>
      <c r="P219">
        <f t="shared" si="10"/>
        <v>5</v>
      </c>
      <c r="Q219">
        <f t="shared" si="11"/>
        <v>2024</v>
      </c>
    </row>
    <row r="220" spans="1:17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9"/>
        <v>28</v>
      </c>
      <c r="P220">
        <f t="shared" si="10"/>
        <v>4</v>
      </c>
      <c r="Q220">
        <f t="shared" si="11"/>
        <v>2023</v>
      </c>
    </row>
    <row r="221" spans="1:17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9"/>
        <v>2</v>
      </c>
      <c r="P221">
        <f t="shared" si="10"/>
        <v>5</v>
      </c>
      <c r="Q221">
        <f t="shared" si="11"/>
        <v>2025</v>
      </c>
    </row>
    <row r="222" spans="1:17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9"/>
        <v>18</v>
      </c>
      <c r="P222">
        <f t="shared" si="10"/>
        <v>7</v>
      </c>
      <c r="Q222">
        <f t="shared" si="11"/>
        <v>2023</v>
      </c>
    </row>
    <row r="223" spans="1:17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9"/>
        <v>23</v>
      </c>
      <c r="P223">
        <f t="shared" si="10"/>
        <v>2</v>
      </c>
      <c r="Q223">
        <f t="shared" si="11"/>
        <v>2024</v>
      </c>
    </row>
    <row r="224" spans="1:17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9"/>
        <v>4</v>
      </c>
      <c r="P224">
        <f t="shared" si="10"/>
        <v>5</v>
      </c>
      <c r="Q224">
        <f t="shared" si="11"/>
        <v>2023</v>
      </c>
    </row>
    <row r="225" spans="1:17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9"/>
        <v>11</v>
      </c>
      <c r="P225">
        <f t="shared" si="10"/>
        <v>9</v>
      </c>
      <c r="Q225">
        <f t="shared" si="11"/>
        <v>2024</v>
      </c>
    </row>
    <row r="226" spans="1:17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9"/>
        <v>23</v>
      </c>
      <c r="P226">
        <f t="shared" si="10"/>
        <v>9</v>
      </c>
      <c r="Q226">
        <f t="shared" si="11"/>
        <v>2023</v>
      </c>
    </row>
    <row r="227" spans="1:17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821.88</v>
      </c>
      <c r="O227">
        <f t="shared" si="9"/>
        <v>13</v>
      </c>
      <c r="P227">
        <f t="shared" si="10"/>
        <v>3</v>
      </c>
      <c r="Q227">
        <f t="shared" si="11"/>
        <v>2024</v>
      </c>
    </row>
    <row r="228" spans="1:17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9"/>
        <v>27</v>
      </c>
      <c r="P228">
        <f t="shared" si="10"/>
        <v>6</v>
      </c>
      <c r="Q228">
        <f t="shared" si="11"/>
        <v>2025</v>
      </c>
    </row>
    <row r="229" spans="1:17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9"/>
        <v>2</v>
      </c>
      <c r="P229">
        <f t="shared" si="10"/>
        <v>11</v>
      </c>
      <c r="Q229">
        <f t="shared" si="11"/>
        <v>2023</v>
      </c>
    </row>
    <row r="230" spans="1:17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9"/>
        <v>17</v>
      </c>
      <c r="P230">
        <f t="shared" si="10"/>
        <v>5</v>
      </c>
      <c r="Q230">
        <f t="shared" si="11"/>
        <v>2023</v>
      </c>
    </row>
    <row r="231" spans="1:17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9"/>
        <v>28</v>
      </c>
      <c r="P231">
        <f t="shared" si="10"/>
        <v>3</v>
      </c>
      <c r="Q231">
        <f t="shared" si="11"/>
        <v>2025</v>
      </c>
    </row>
    <row r="232" spans="1:17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9"/>
        <v>16</v>
      </c>
      <c r="P232">
        <f t="shared" si="10"/>
        <v>12</v>
      </c>
      <c r="Q232">
        <f t="shared" si="11"/>
        <v>2023</v>
      </c>
    </row>
    <row r="233" spans="1:17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9"/>
        <v>5</v>
      </c>
      <c r="P233">
        <f t="shared" si="10"/>
        <v>11</v>
      </c>
      <c r="Q233">
        <f t="shared" si="11"/>
        <v>2023</v>
      </c>
    </row>
    <row r="234" spans="1:17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9"/>
        <v>19</v>
      </c>
      <c r="P234">
        <f t="shared" si="10"/>
        <v>5</v>
      </c>
      <c r="Q234">
        <f t="shared" si="11"/>
        <v>2023</v>
      </c>
    </row>
    <row r="235" spans="1:17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9"/>
        <v>24</v>
      </c>
      <c r="P235">
        <f t="shared" si="10"/>
        <v>8</v>
      </c>
      <c r="Q235">
        <f t="shared" si="11"/>
        <v>2024</v>
      </c>
    </row>
    <row r="236" spans="1:17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9"/>
        <v>26</v>
      </c>
      <c r="P236">
        <f t="shared" si="10"/>
        <v>11</v>
      </c>
      <c r="Q236">
        <f t="shared" si="11"/>
        <v>2024</v>
      </c>
    </row>
    <row r="237" spans="1:17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9"/>
        <v>20</v>
      </c>
      <c r="P237">
        <f t="shared" si="10"/>
        <v>2</v>
      </c>
      <c r="Q237">
        <f t="shared" si="11"/>
        <v>2023</v>
      </c>
    </row>
    <row r="238" spans="1:17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9"/>
        <v>1</v>
      </c>
      <c r="P238">
        <f t="shared" si="10"/>
        <v>1</v>
      </c>
      <c r="Q238">
        <f t="shared" si="11"/>
        <v>2023</v>
      </c>
    </row>
    <row r="239" spans="1:17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9"/>
        <v>14</v>
      </c>
      <c r="P239">
        <f t="shared" si="10"/>
        <v>3</v>
      </c>
      <c r="Q239">
        <f t="shared" si="11"/>
        <v>2024</v>
      </c>
    </row>
    <row r="240" spans="1:17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9"/>
        <v>13</v>
      </c>
      <c r="P240">
        <f t="shared" si="10"/>
        <v>12</v>
      </c>
      <c r="Q240">
        <f t="shared" si="11"/>
        <v>2024</v>
      </c>
    </row>
    <row r="241" spans="1:17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9"/>
        <v>11</v>
      </c>
      <c r="P241">
        <f t="shared" si="10"/>
        <v>12</v>
      </c>
      <c r="Q241">
        <f t="shared" si="11"/>
        <v>2024</v>
      </c>
    </row>
    <row r="242" spans="1:17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9"/>
        <v>12</v>
      </c>
      <c r="P242">
        <f t="shared" si="10"/>
        <v>7</v>
      </c>
      <c r="Q242">
        <f t="shared" si="11"/>
        <v>2023</v>
      </c>
    </row>
    <row r="243" spans="1:17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9"/>
        <v>16</v>
      </c>
      <c r="P243">
        <f t="shared" si="10"/>
        <v>5</v>
      </c>
      <c r="Q243">
        <f t="shared" si="11"/>
        <v>2023</v>
      </c>
    </row>
    <row r="244" spans="1:17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9"/>
        <v>9</v>
      </c>
      <c r="P244">
        <f t="shared" si="10"/>
        <v>5</v>
      </c>
      <c r="Q244">
        <f t="shared" si="11"/>
        <v>2023</v>
      </c>
    </row>
    <row r="245" spans="1:17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9"/>
        <v>9</v>
      </c>
      <c r="P245">
        <f t="shared" si="10"/>
        <v>5</v>
      </c>
      <c r="Q245">
        <f t="shared" si="11"/>
        <v>2025</v>
      </c>
    </row>
    <row r="246" spans="1:17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9"/>
        <v>16</v>
      </c>
      <c r="P246">
        <f t="shared" si="10"/>
        <v>2</v>
      </c>
      <c r="Q246">
        <f t="shared" si="11"/>
        <v>2023</v>
      </c>
    </row>
    <row r="247" spans="1:17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9"/>
        <v>20</v>
      </c>
      <c r="P247">
        <f t="shared" si="10"/>
        <v>4</v>
      </c>
      <c r="Q247">
        <f t="shared" si="11"/>
        <v>2025</v>
      </c>
    </row>
    <row r="248" spans="1:17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9"/>
        <v>30</v>
      </c>
      <c r="P248">
        <f t="shared" si="10"/>
        <v>8</v>
      </c>
      <c r="Q248">
        <f t="shared" si="11"/>
        <v>2024</v>
      </c>
    </row>
    <row r="249" spans="1:17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9"/>
        <v>20</v>
      </c>
      <c r="P249">
        <f t="shared" si="10"/>
        <v>7</v>
      </c>
      <c r="Q249">
        <f t="shared" si="11"/>
        <v>2023</v>
      </c>
    </row>
    <row r="250" spans="1:17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9"/>
        <v>2</v>
      </c>
      <c r="P250">
        <f t="shared" si="10"/>
        <v>7</v>
      </c>
      <c r="Q250">
        <f t="shared" si="11"/>
        <v>2023</v>
      </c>
    </row>
    <row r="251" spans="1:17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9"/>
        <v>7</v>
      </c>
      <c r="P251">
        <f t="shared" si="10"/>
        <v>2</v>
      </c>
      <c r="Q251">
        <f t="shared" si="11"/>
        <v>2024</v>
      </c>
    </row>
    <row r="252" spans="1:17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9"/>
        <v>5</v>
      </c>
      <c r="P252">
        <f t="shared" si="10"/>
        <v>4</v>
      </c>
      <c r="Q252">
        <f t="shared" si="11"/>
        <v>2023</v>
      </c>
    </row>
    <row r="253" spans="1:17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9"/>
        <v>15</v>
      </c>
      <c r="P253">
        <f t="shared" si="10"/>
        <v>5</v>
      </c>
      <c r="Q253">
        <f t="shared" si="11"/>
        <v>2025</v>
      </c>
    </row>
    <row r="254" spans="1:17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9"/>
        <v>20</v>
      </c>
      <c r="P254">
        <f t="shared" si="10"/>
        <v>9</v>
      </c>
      <c r="Q254">
        <f t="shared" si="11"/>
        <v>2024</v>
      </c>
    </row>
    <row r="255" spans="1:17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9"/>
        <v>23</v>
      </c>
      <c r="P255">
        <f t="shared" si="10"/>
        <v>3</v>
      </c>
      <c r="Q255">
        <f t="shared" si="11"/>
        <v>2024</v>
      </c>
    </row>
    <row r="256" spans="1:17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789.57</v>
      </c>
      <c r="O256">
        <f t="shared" si="9"/>
        <v>26</v>
      </c>
      <c r="P256">
        <f t="shared" si="10"/>
        <v>12</v>
      </c>
      <c r="Q256">
        <f t="shared" si="11"/>
        <v>2023</v>
      </c>
    </row>
    <row r="257" spans="1:17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9"/>
        <v>13</v>
      </c>
      <c r="P257">
        <f t="shared" si="10"/>
        <v>5</v>
      </c>
      <c r="Q257">
        <f t="shared" si="11"/>
        <v>2024</v>
      </c>
    </row>
    <row r="258" spans="1:17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ref="O258:O321" si="12">DAY(B258)</f>
        <v>30</v>
      </c>
      <c r="P258">
        <f t="shared" ref="P258:P321" si="13">MONTH(B258)</f>
        <v>6</v>
      </c>
      <c r="Q258">
        <f t="shared" ref="Q258:Q321" si="14">YEAR(B258)</f>
        <v>2025</v>
      </c>
    </row>
    <row r="259" spans="1:17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si="12"/>
        <v>23</v>
      </c>
      <c r="P259">
        <f t="shared" si="13"/>
        <v>4</v>
      </c>
      <c r="Q259">
        <f t="shared" si="14"/>
        <v>2024</v>
      </c>
    </row>
    <row r="260" spans="1:17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12"/>
        <v>26</v>
      </c>
      <c r="P260">
        <f t="shared" si="13"/>
        <v>2</v>
      </c>
      <c r="Q260">
        <f t="shared" si="14"/>
        <v>2024</v>
      </c>
    </row>
    <row r="261" spans="1:17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12"/>
        <v>11</v>
      </c>
      <c r="P261">
        <f t="shared" si="13"/>
        <v>6</v>
      </c>
      <c r="Q261">
        <f t="shared" si="14"/>
        <v>2023</v>
      </c>
    </row>
    <row r="262" spans="1:17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12"/>
        <v>17</v>
      </c>
      <c r="P262">
        <f t="shared" si="13"/>
        <v>5</v>
      </c>
      <c r="Q262">
        <f t="shared" si="14"/>
        <v>2023</v>
      </c>
    </row>
    <row r="263" spans="1:17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12"/>
        <v>28</v>
      </c>
      <c r="P263">
        <f t="shared" si="13"/>
        <v>5</v>
      </c>
      <c r="Q263">
        <f t="shared" si="14"/>
        <v>2025</v>
      </c>
    </row>
    <row r="264" spans="1:17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12"/>
        <v>10</v>
      </c>
      <c r="P264">
        <f t="shared" si="13"/>
        <v>1</v>
      </c>
      <c r="Q264">
        <f t="shared" si="14"/>
        <v>2023</v>
      </c>
    </row>
    <row r="265" spans="1:17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12"/>
        <v>25</v>
      </c>
      <c r="P265">
        <f t="shared" si="13"/>
        <v>3</v>
      </c>
      <c r="Q265">
        <f t="shared" si="14"/>
        <v>2023</v>
      </c>
    </row>
    <row r="266" spans="1:17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12"/>
        <v>3</v>
      </c>
      <c r="P266">
        <f t="shared" si="13"/>
        <v>8</v>
      </c>
      <c r="Q266">
        <f t="shared" si="14"/>
        <v>2024</v>
      </c>
    </row>
    <row r="267" spans="1:17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12"/>
        <v>22</v>
      </c>
      <c r="P267">
        <f t="shared" si="13"/>
        <v>12</v>
      </c>
      <c r="Q267">
        <f t="shared" si="14"/>
        <v>2023</v>
      </c>
    </row>
    <row r="268" spans="1:17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12"/>
        <v>8</v>
      </c>
      <c r="P268">
        <f t="shared" si="13"/>
        <v>6</v>
      </c>
      <c r="Q268">
        <f t="shared" si="14"/>
        <v>2024</v>
      </c>
    </row>
    <row r="269" spans="1:17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12"/>
        <v>17</v>
      </c>
      <c r="P269">
        <f t="shared" si="13"/>
        <v>4</v>
      </c>
      <c r="Q269">
        <f t="shared" si="14"/>
        <v>2025</v>
      </c>
    </row>
    <row r="270" spans="1:17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12"/>
        <v>11</v>
      </c>
      <c r="P270">
        <f t="shared" si="13"/>
        <v>8</v>
      </c>
      <c r="Q270">
        <f t="shared" si="14"/>
        <v>2023</v>
      </c>
    </row>
    <row r="271" spans="1:17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12"/>
        <v>25</v>
      </c>
      <c r="P271">
        <f t="shared" si="13"/>
        <v>11</v>
      </c>
      <c r="Q271">
        <f t="shared" si="14"/>
        <v>2023</v>
      </c>
    </row>
    <row r="272" spans="1:17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12"/>
        <v>4</v>
      </c>
      <c r="P272">
        <f t="shared" si="13"/>
        <v>6</v>
      </c>
      <c r="Q272">
        <f t="shared" si="14"/>
        <v>2023</v>
      </c>
    </row>
    <row r="273" spans="1:17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12"/>
        <v>28</v>
      </c>
      <c r="P273">
        <f t="shared" si="13"/>
        <v>3</v>
      </c>
      <c r="Q273">
        <f t="shared" si="14"/>
        <v>2023</v>
      </c>
    </row>
    <row r="274" spans="1:17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12"/>
        <v>19</v>
      </c>
      <c r="P274">
        <f t="shared" si="13"/>
        <v>9</v>
      </c>
      <c r="Q274">
        <f t="shared" si="14"/>
        <v>2023</v>
      </c>
    </row>
    <row r="275" spans="1:17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12"/>
        <v>27</v>
      </c>
      <c r="P275">
        <f t="shared" si="13"/>
        <v>10</v>
      </c>
      <c r="Q275">
        <f t="shared" si="14"/>
        <v>2024</v>
      </c>
    </row>
    <row r="276" spans="1:17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12"/>
        <v>4</v>
      </c>
      <c r="P276">
        <f t="shared" si="13"/>
        <v>2</v>
      </c>
      <c r="Q276">
        <f t="shared" si="14"/>
        <v>2023</v>
      </c>
    </row>
    <row r="277" spans="1:17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12"/>
        <v>4</v>
      </c>
      <c r="P277">
        <f t="shared" si="13"/>
        <v>11</v>
      </c>
      <c r="Q277">
        <f t="shared" si="14"/>
        <v>2023</v>
      </c>
    </row>
    <row r="278" spans="1:17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12"/>
        <v>29</v>
      </c>
      <c r="P278">
        <f t="shared" si="13"/>
        <v>3</v>
      </c>
      <c r="Q278">
        <f t="shared" si="14"/>
        <v>2025</v>
      </c>
    </row>
    <row r="279" spans="1:17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12"/>
        <v>9</v>
      </c>
      <c r="P279">
        <f t="shared" si="13"/>
        <v>9</v>
      </c>
      <c r="Q279">
        <f t="shared" si="14"/>
        <v>2024</v>
      </c>
    </row>
    <row r="280" spans="1:17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12"/>
        <v>18</v>
      </c>
      <c r="P280">
        <f t="shared" si="13"/>
        <v>11</v>
      </c>
      <c r="Q280">
        <f t="shared" si="14"/>
        <v>2024</v>
      </c>
    </row>
    <row r="281" spans="1:17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12"/>
        <v>20</v>
      </c>
      <c r="P281">
        <f t="shared" si="13"/>
        <v>10</v>
      </c>
      <c r="Q281">
        <f t="shared" si="14"/>
        <v>2023</v>
      </c>
    </row>
    <row r="282" spans="1:17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12"/>
        <v>27</v>
      </c>
      <c r="P282">
        <f t="shared" si="13"/>
        <v>3</v>
      </c>
      <c r="Q282">
        <f t="shared" si="14"/>
        <v>2023</v>
      </c>
    </row>
    <row r="283" spans="1:17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12"/>
        <v>27</v>
      </c>
      <c r="P283">
        <f t="shared" si="13"/>
        <v>7</v>
      </c>
      <c r="Q283">
        <f t="shared" si="14"/>
        <v>2023</v>
      </c>
    </row>
    <row r="284" spans="1:17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12"/>
        <v>22</v>
      </c>
      <c r="P284">
        <f t="shared" si="13"/>
        <v>4</v>
      </c>
      <c r="Q284">
        <f t="shared" si="14"/>
        <v>2025</v>
      </c>
    </row>
    <row r="285" spans="1:17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12"/>
        <v>28</v>
      </c>
      <c r="P285">
        <f t="shared" si="13"/>
        <v>2</v>
      </c>
      <c r="Q285">
        <f t="shared" si="14"/>
        <v>2025</v>
      </c>
    </row>
    <row r="286" spans="1:17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12"/>
        <v>16</v>
      </c>
      <c r="P286">
        <f t="shared" si="13"/>
        <v>2</v>
      </c>
      <c r="Q286">
        <f t="shared" si="14"/>
        <v>2023</v>
      </c>
    </row>
    <row r="287" spans="1:17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12"/>
        <v>10</v>
      </c>
      <c r="P287">
        <f t="shared" si="13"/>
        <v>6</v>
      </c>
      <c r="Q287">
        <f t="shared" si="14"/>
        <v>2025</v>
      </c>
    </row>
    <row r="288" spans="1:17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12"/>
        <v>7</v>
      </c>
      <c r="P288">
        <f t="shared" si="13"/>
        <v>4</v>
      </c>
      <c r="Q288">
        <f t="shared" si="14"/>
        <v>2025</v>
      </c>
    </row>
    <row r="289" spans="1:17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12"/>
        <v>24</v>
      </c>
      <c r="P289">
        <f t="shared" si="13"/>
        <v>11</v>
      </c>
      <c r="Q289">
        <f t="shared" si="14"/>
        <v>2023</v>
      </c>
    </row>
    <row r="290" spans="1:17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12"/>
        <v>12</v>
      </c>
      <c r="P290">
        <f t="shared" si="13"/>
        <v>3</v>
      </c>
      <c r="Q290">
        <f t="shared" si="14"/>
        <v>2023</v>
      </c>
    </row>
    <row r="291" spans="1:17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12"/>
        <v>26</v>
      </c>
      <c r="P291">
        <f t="shared" si="13"/>
        <v>7</v>
      </c>
      <c r="Q291">
        <f t="shared" si="14"/>
        <v>2023</v>
      </c>
    </row>
    <row r="292" spans="1:17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12"/>
        <v>5</v>
      </c>
      <c r="P292">
        <f t="shared" si="13"/>
        <v>5</v>
      </c>
      <c r="Q292">
        <f t="shared" si="14"/>
        <v>2023</v>
      </c>
    </row>
    <row r="293" spans="1:17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12"/>
        <v>12</v>
      </c>
      <c r="P293">
        <f t="shared" si="13"/>
        <v>5</v>
      </c>
      <c r="Q293">
        <f t="shared" si="14"/>
        <v>2024</v>
      </c>
    </row>
    <row r="294" spans="1:17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12"/>
        <v>15</v>
      </c>
      <c r="P294">
        <f t="shared" si="13"/>
        <v>1</v>
      </c>
      <c r="Q294">
        <f t="shared" si="14"/>
        <v>2025</v>
      </c>
    </row>
    <row r="295" spans="1:17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12"/>
        <v>16</v>
      </c>
      <c r="P295">
        <f t="shared" si="13"/>
        <v>2</v>
      </c>
      <c r="Q295">
        <f t="shared" si="14"/>
        <v>2023</v>
      </c>
    </row>
    <row r="296" spans="1:17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12"/>
        <v>1</v>
      </c>
      <c r="P296">
        <f t="shared" si="13"/>
        <v>4</v>
      </c>
      <c r="Q296">
        <f t="shared" si="14"/>
        <v>2025</v>
      </c>
    </row>
    <row r="297" spans="1:17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12"/>
        <v>25</v>
      </c>
      <c r="P297">
        <f t="shared" si="13"/>
        <v>1</v>
      </c>
      <c r="Q297">
        <f t="shared" si="14"/>
        <v>2023</v>
      </c>
    </row>
    <row r="298" spans="1:17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12"/>
        <v>19</v>
      </c>
      <c r="P298">
        <f t="shared" si="13"/>
        <v>6</v>
      </c>
      <c r="Q298">
        <f t="shared" si="14"/>
        <v>2024</v>
      </c>
    </row>
    <row r="299" spans="1:17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12"/>
        <v>22</v>
      </c>
      <c r="P299">
        <f t="shared" si="13"/>
        <v>2</v>
      </c>
      <c r="Q299">
        <f t="shared" si="14"/>
        <v>2023</v>
      </c>
    </row>
    <row r="300" spans="1:17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12"/>
        <v>19</v>
      </c>
      <c r="P300">
        <f t="shared" si="13"/>
        <v>12</v>
      </c>
      <c r="Q300">
        <f t="shared" si="14"/>
        <v>2023</v>
      </c>
    </row>
    <row r="301" spans="1:17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12"/>
        <v>20</v>
      </c>
      <c r="P301">
        <f t="shared" si="13"/>
        <v>1</v>
      </c>
      <c r="Q301">
        <f t="shared" si="14"/>
        <v>2024</v>
      </c>
    </row>
    <row r="302" spans="1:17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12"/>
        <v>2</v>
      </c>
      <c r="P302">
        <f t="shared" si="13"/>
        <v>9</v>
      </c>
      <c r="Q302">
        <f t="shared" si="14"/>
        <v>2024</v>
      </c>
    </row>
    <row r="303" spans="1:17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12"/>
        <v>11</v>
      </c>
      <c r="P303">
        <f t="shared" si="13"/>
        <v>5</v>
      </c>
      <c r="Q303">
        <f t="shared" si="14"/>
        <v>2023</v>
      </c>
    </row>
    <row r="304" spans="1:17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12"/>
        <v>16</v>
      </c>
      <c r="P304">
        <f t="shared" si="13"/>
        <v>5</v>
      </c>
      <c r="Q304">
        <f t="shared" si="14"/>
        <v>2023</v>
      </c>
    </row>
    <row r="305" spans="1:17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12"/>
        <v>7</v>
      </c>
      <c r="P305">
        <f t="shared" si="13"/>
        <v>12</v>
      </c>
      <c r="Q305">
        <f t="shared" si="14"/>
        <v>2024</v>
      </c>
    </row>
    <row r="306" spans="1:17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12"/>
        <v>18</v>
      </c>
      <c r="P306">
        <f t="shared" si="13"/>
        <v>10</v>
      </c>
      <c r="Q306">
        <f t="shared" si="14"/>
        <v>2024</v>
      </c>
    </row>
    <row r="307" spans="1:17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12"/>
        <v>25</v>
      </c>
      <c r="P307">
        <f t="shared" si="13"/>
        <v>11</v>
      </c>
      <c r="Q307">
        <f t="shared" si="14"/>
        <v>2023</v>
      </c>
    </row>
    <row r="308" spans="1:17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12"/>
        <v>7</v>
      </c>
      <c r="P308">
        <f t="shared" si="13"/>
        <v>6</v>
      </c>
      <c r="Q308">
        <f t="shared" si="14"/>
        <v>2024</v>
      </c>
    </row>
    <row r="309" spans="1:17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12"/>
        <v>1</v>
      </c>
      <c r="P309">
        <f t="shared" si="13"/>
        <v>7</v>
      </c>
      <c r="Q309">
        <f t="shared" si="14"/>
        <v>2023</v>
      </c>
    </row>
    <row r="310" spans="1:17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12"/>
        <v>11</v>
      </c>
      <c r="P310">
        <f t="shared" si="13"/>
        <v>12</v>
      </c>
      <c r="Q310">
        <f t="shared" si="14"/>
        <v>2023</v>
      </c>
    </row>
    <row r="311" spans="1:17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12"/>
        <v>3</v>
      </c>
      <c r="P311">
        <f t="shared" si="13"/>
        <v>10</v>
      </c>
      <c r="Q311">
        <f t="shared" si="14"/>
        <v>2023</v>
      </c>
    </row>
    <row r="312" spans="1:17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397.44</v>
      </c>
      <c r="O312">
        <f t="shared" si="12"/>
        <v>24</v>
      </c>
      <c r="P312">
        <f t="shared" si="13"/>
        <v>2</v>
      </c>
      <c r="Q312">
        <f t="shared" si="14"/>
        <v>2024</v>
      </c>
    </row>
    <row r="313" spans="1:17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12"/>
        <v>17</v>
      </c>
      <c r="P313">
        <f t="shared" si="13"/>
        <v>5</v>
      </c>
      <c r="Q313">
        <f t="shared" si="14"/>
        <v>2025</v>
      </c>
    </row>
    <row r="314" spans="1:17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12"/>
        <v>24</v>
      </c>
      <c r="P314">
        <f t="shared" si="13"/>
        <v>5</v>
      </c>
      <c r="Q314">
        <f t="shared" si="14"/>
        <v>2025</v>
      </c>
    </row>
    <row r="315" spans="1:17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12"/>
        <v>9</v>
      </c>
      <c r="P315">
        <f t="shared" si="13"/>
        <v>7</v>
      </c>
      <c r="Q315">
        <f t="shared" si="14"/>
        <v>2023</v>
      </c>
    </row>
    <row r="316" spans="1:17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12"/>
        <v>4</v>
      </c>
      <c r="P316">
        <f t="shared" si="13"/>
        <v>10</v>
      </c>
      <c r="Q316">
        <f t="shared" si="14"/>
        <v>2023</v>
      </c>
    </row>
    <row r="317" spans="1:17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12"/>
        <v>12</v>
      </c>
      <c r="P317">
        <f t="shared" si="13"/>
        <v>5</v>
      </c>
      <c r="Q317">
        <f t="shared" si="14"/>
        <v>2025</v>
      </c>
    </row>
    <row r="318" spans="1:17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12"/>
        <v>2</v>
      </c>
      <c r="P318">
        <f t="shared" si="13"/>
        <v>10</v>
      </c>
      <c r="Q318">
        <f t="shared" si="14"/>
        <v>2023</v>
      </c>
    </row>
    <row r="319" spans="1:17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12"/>
        <v>10</v>
      </c>
      <c r="P319">
        <f t="shared" si="13"/>
        <v>4</v>
      </c>
      <c r="Q319">
        <f t="shared" si="14"/>
        <v>2023</v>
      </c>
    </row>
    <row r="320" spans="1:17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12"/>
        <v>27</v>
      </c>
      <c r="P320">
        <f t="shared" si="13"/>
        <v>7</v>
      </c>
      <c r="Q320">
        <f t="shared" si="14"/>
        <v>2024</v>
      </c>
    </row>
    <row r="321" spans="1:17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12"/>
        <v>2</v>
      </c>
      <c r="P321">
        <f t="shared" si="13"/>
        <v>12</v>
      </c>
      <c r="Q321">
        <f t="shared" si="14"/>
        <v>2023</v>
      </c>
    </row>
    <row r="322" spans="1:17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ref="O322:O385" si="15">DAY(B322)</f>
        <v>19</v>
      </c>
      <c r="P322">
        <f t="shared" ref="P322:P385" si="16">MONTH(B322)</f>
        <v>12</v>
      </c>
      <c r="Q322">
        <f t="shared" ref="Q322:Q385" si="17">YEAR(B322)</f>
        <v>2024</v>
      </c>
    </row>
    <row r="323" spans="1:17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si="15"/>
        <v>9</v>
      </c>
      <c r="P323">
        <f t="shared" si="16"/>
        <v>8</v>
      </c>
      <c r="Q323">
        <f t="shared" si="17"/>
        <v>2023</v>
      </c>
    </row>
    <row r="324" spans="1:17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15"/>
        <v>14</v>
      </c>
      <c r="P324">
        <f t="shared" si="16"/>
        <v>6</v>
      </c>
      <c r="Q324">
        <f t="shared" si="17"/>
        <v>2024</v>
      </c>
    </row>
    <row r="325" spans="1:17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15"/>
        <v>26</v>
      </c>
      <c r="P325">
        <f t="shared" si="16"/>
        <v>1</v>
      </c>
      <c r="Q325">
        <f t="shared" si="17"/>
        <v>2025</v>
      </c>
    </row>
    <row r="326" spans="1:17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15"/>
        <v>13</v>
      </c>
      <c r="P326">
        <f t="shared" si="16"/>
        <v>6</v>
      </c>
      <c r="Q326">
        <f t="shared" si="17"/>
        <v>2024</v>
      </c>
    </row>
    <row r="327" spans="1:17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15"/>
        <v>29</v>
      </c>
      <c r="P327">
        <f t="shared" si="16"/>
        <v>6</v>
      </c>
      <c r="Q327">
        <f t="shared" si="17"/>
        <v>2023</v>
      </c>
    </row>
    <row r="328" spans="1:17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15"/>
        <v>1</v>
      </c>
      <c r="P328">
        <f t="shared" si="16"/>
        <v>7</v>
      </c>
      <c r="Q328">
        <f t="shared" si="17"/>
        <v>2024</v>
      </c>
    </row>
    <row r="329" spans="1:17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15"/>
        <v>25</v>
      </c>
      <c r="P329">
        <f t="shared" si="16"/>
        <v>7</v>
      </c>
      <c r="Q329">
        <f t="shared" si="17"/>
        <v>2023</v>
      </c>
    </row>
    <row r="330" spans="1:17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15"/>
        <v>28</v>
      </c>
      <c r="P330">
        <f t="shared" si="16"/>
        <v>2</v>
      </c>
      <c r="Q330">
        <f t="shared" si="17"/>
        <v>2023</v>
      </c>
    </row>
    <row r="331" spans="1:17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15"/>
        <v>25</v>
      </c>
      <c r="P331">
        <f t="shared" si="16"/>
        <v>12</v>
      </c>
      <c r="Q331">
        <f t="shared" si="17"/>
        <v>2024</v>
      </c>
    </row>
    <row r="332" spans="1:17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15"/>
        <v>2</v>
      </c>
      <c r="P332">
        <f t="shared" si="16"/>
        <v>6</v>
      </c>
      <c r="Q332">
        <f t="shared" si="17"/>
        <v>2024</v>
      </c>
    </row>
    <row r="333" spans="1:17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15"/>
        <v>15</v>
      </c>
      <c r="P333">
        <f t="shared" si="16"/>
        <v>4</v>
      </c>
      <c r="Q333">
        <f t="shared" si="17"/>
        <v>2023</v>
      </c>
    </row>
    <row r="334" spans="1:17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15"/>
        <v>3</v>
      </c>
      <c r="P334">
        <f t="shared" si="16"/>
        <v>7</v>
      </c>
      <c r="Q334">
        <f t="shared" si="17"/>
        <v>2024</v>
      </c>
    </row>
    <row r="335" spans="1:17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15"/>
        <v>16</v>
      </c>
      <c r="P335">
        <f t="shared" si="16"/>
        <v>4</v>
      </c>
      <c r="Q335">
        <f t="shared" si="17"/>
        <v>2024</v>
      </c>
    </row>
    <row r="336" spans="1:17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15"/>
        <v>26</v>
      </c>
      <c r="P336">
        <f t="shared" si="16"/>
        <v>3</v>
      </c>
      <c r="Q336">
        <f t="shared" si="17"/>
        <v>2024</v>
      </c>
    </row>
    <row r="337" spans="1:17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15"/>
        <v>3</v>
      </c>
      <c r="P337">
        <f t="shared" si="16"/>
        <v>3</v>
      </c>
      <c r="Q337">
        <f t="shared" si="17"/>
        <v>2025</v>
      </c>
    </row>
    <row r="338" spans="1:17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15"/>
        <v>29</v>
      </c>
      <c r="P338">
        <f t="shared" si="16"/>
        <v>12</v>
      </c>
      <c r="Q338">
        <f t="shared" si="17"/>
        <v>2023</v>
      </c>
    </row>
    <row r="339" spans="1:17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15"/>
        <v>29</v>
      </c>
      <c r="P339">
        <f t="shared" si="16"/>
        <v>5</v>
      </c>
      <c r="Q339">
        <f t="shared" si="17"/>
        <v>2023</v>
      </c>
    </row>
    <row r="340" spans="1:17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15"/>
        <v>8</v>
      </c>
      <c r="P340">
        <f t="shared" si="16"/>
        <v>11</v>
      </c>
      <c r="Q340">
        <f t="shared" si="17"/>
        <v>2023</v>
      </c>
    </row>
    <row r="341" spans="1:17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15"/>
        <v>10</v>
      </c>
      <c r="P341">
        <f t="shared" si="16"/>
        <v>4</v>
      </c>
      <c r="Q341">
        <f t="shared" si="17"/>
        <v>2024</v>
      </c>
    </row>
    <row r="342" spans="1:17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15"/>
        <v>23</v>
      </c>
      <c r="P342">
        <f t="shared" si="16"/>
        <v>4</v>
      </c>
      <c r="Q342">
        <f t="shared" si="17"/>
        <v>2023</v>
      </c>
    </row>
    <row r="343" spans="1:17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15"/>
        <v>23</v>
      </c>
      <c r="P343">
        <f t="shared" si="16"/>
        <v>9</v>
      </c>
      <c r="Q343">
        <f t="shared" si="17"/>
        <v>2024</v>
      </c>
    </row>
    <row r="344" spans="1:17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15"/>
        <v>24</v>
      </c>
      <c r="P344">
        <f t="shared" si="16"/>
        <v>6</v>
      </c>
      <c r="Q344">
        <f t="shared" si="17"/>
        <v>2025</v>
      </c>
    </row>
    <row r="345" spans="1:17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15"/>
        <v>26</v>
      </c>
      <c r="P345">
        <f t="shared" si="16"/>
        <v>2</v>
      </c>
      <c r="Q345">
        <f t="shared" si="17"/>
        <v>2023</v>
      </c>
    </row>
    <row r="346" spans="1:17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15"/>
        <v>6</v>
      </c>
      <c r="P346">
        <f t="shared" si="16"/>
        <v>3</v>
      </c>
      <c r="Q346">
        <f t="shared" si="17"/>
        <v>2025</v>
      </c>
    </row>
    <row r="347" spans="1:17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15"/>
        <v>7</v>
      </c>
      <c r="P347">
        <f t="shared" si="16"/>
        <v>12</v>
      </c>
      <c r="Q347">
        <f t="shared" si="17"/>
        <v>2023</v>
      </c>
    </row>
    <row r="348" spans="1:17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15"/>
        <v>6</v>
      </c>
      <c r="P348">
        <f t="shared" si="16"/>
        <v>12</v>
      </c>
      <c r="Q348">
        <f t="shared" si="17"/>
        <v>2024</v>
      </c>
    </row>
    <row r="349" spans="1:17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15"/>
        <v>3</v>
      </c>
      <c r="P349">
        <f t="shared" si="16"/>
        <v>2</v>
      </c>
      <c r="Q349">
        <f t="shared" si="17"/>
        <v>2024</v>
      </c>
    </row>
    <row r="350" spans="1:17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15"/>
        <v>13</v>
      </c>
      <c r="P350">
        <f t="shared" si="16"/>
        <v>3</v>
      </c>
      <c r="Q350">
        <f t="shared" si="17"/>
        <v>2024</v>
      </c>
    </row>
    <row r="351" spans="1:17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15"/>
        <v>30</v>
      </c>
      <c r="P351">
        <f t="shared" si="16"/>
        <v>11</v>
      </c>
      <c r="Q351">
        <f t="shared" si="17"/>
        <v>2023</v>
      </c>
    </row>
    <row r="352" spans="1:17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15"/>
        <v>3</v>
      </c>
      <c r="P352">
        <f t="shared" si="16"/>
        <v>6</v>
      </c>
      <c r="Q352">
        <f t="shared" si="17"/>
        <v>2023</v>
      </c>
    </row>
    <row r="353" spans="1:17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15"/>
        <v>15</v>
      </c>
      <c r="P353">
        <f t="shared" si="16"/>
        <v>2</v>
      </c>
      <c r="Q353">
        <f t="shared" si="17"/>
        <v>2025</v>
      </c>
    </row>
    <row r="354" spans="1:17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</v>
      </c>
      <c r="O354">
        <f t="shared" si="15"/>
        <v>31</v>
      </c>
      <c r="P354">
        <f t="shared" si="16"/>
        <v>8</v>
      </c>
      <c r="Q354">
        <f t="shared" si="17"/>
        <v>2023</v>
      </c>
    </row>
    <row r="355" spans="1:17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15"/>
        <v>28</v>
      </c>
      <c r="P355">
        <f t="shared" si="16"/>
        <v>3</v>
      </c>
      <c r="Q355">
        <f t="shared" si="17"/>
        <v>2025</v>
      </c>
    </row>
    <row r="356" spans="1:17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15"/>
        <v>11</v>
      </c>
      <c r="P356">
        <f t="shared" si="16"/>
        <v>7</v>
      </c>
      <c r="Q356">
        <f t="shared" si="17"/>
        <v>2023</v>
      </c>
    </row>
    <row r="357" spans="1:17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15"/>
        <v>3</v>
      </c>
      <c r="P357">
        <f t="shared" si="16"/>
        <v>6</v>
      </c>
      <c r="Q357">
        <f t="shared" si="17"/>
        <v>2025</v>
      </c>
    </row>
    <row r="358" spans="1:17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15"/>
        <v>6</v>
      </c>
      <c r="P358">
        <f t="shared" si="16"/>
        <v>5</v>
      </c>
      <c r="Q358">
        <f t="shared" si="17"/>
        <v>2023</v>
      </c>
    </row>
    <row r="359" spans="1:17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15"/>
        <v>8</v>
      </c>
      <c r="P359">
        <f t="shared" si="16"/>
        <v>7</v>
      </c>
      <c r="Q359">
        <f t="shared" si="17"/>
        <v>2023</v>
      </c>
    </row>
    <row r="360" spans="1:17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15"/>
        <v>7</v>
      </c>
      <c r="P360">
        <f t="shared" si="16"/>
        <v>4</v>
      </c>
      <c r="Q360">
        <f t="shared" si="17"/>
        <v>2024</v>
      </c>
    </row>
    <row r="361" spans="1:17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15"/>
        <v>9</v>
      </c>
      <c r="P361">
        <f t="shared" si="16"/>
        <v>6</v>
      </c>
      <c r="Q361">
        <f t="shared" si="17"/>
        <v>2023</v>
      </c>
    </row>
    <row r="362" spans="1:17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15"/>
        <v>6</v>
      </c>
      <c r="P362">
        <f t="shared" si="16"/>
        <v>6</v>
      </c>
      <c r="Q362">
        <f t="shared" si="17"/>
        <v>2024</v>
      </c>
    </row>
    <row r="363" spans="1:17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15"/>
        <v>29</v>
      </c>
      <c r="P363">
        <f t="shared" si="16"/>
        <v>6</v>
      </c>
      <c r="Q363">
        <f t="shared" si="17"/>
        <v>2024</v>
      </c>
    </row>
    <row r="364" spans="1:17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15"/>
        <v>27</v>
      </c>
      <c r="P364">
        <f t="shared" si="16"/>
        <v>6</v>
      </c>
      <c r="Q364">
        <f t="shared" si="17"/>
        <v>2023</v>
      </c>
    </row>
    <row r="365" spans="1:17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15"/>
        <v>24</v>
      </c>
      <c r="P365">
        <f t="shared" si="16"/>
        <v>5</v>
      </c>
      <c r="Q365">
        <f t="shared" si="17"/>
        <v>2024</v>
      </c>
    </row>
    <row r="366" spans="1:17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15"/>
        <v>24</v>
      </c>
      <c r="P366">
        <f t="shared" si="16"/>
        <v>11</v>
      </c>
      <c r="Q366">
        <f t="shared" si="17"/>
        <v>2023</v>
      </c>
    </row>
    <row r="367" spans="1:17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15"/>
        <v>14</v>
      </c>
      <c r="P367">
        <f t="shared" si="16"/>
        <v>2</v>
      </c>
      <c r="Q367">
        <f t="shared" si="17"/>
        <v>2025</v>
      </c>
    </row>
    <row r="368" spans="1:17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15"/>
        <v>10</v>
      </c>
      <c r="P368">
        <f t="shared" si="16"/>
        <v>2</v>
      </c>
      <c r="Q368">
        <f t="shared" si="17"/>
        <v>2023</v>
      </c>
    </row>
    <row r="369" spans="1:17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15"/>
        <v>25</v>
      </c>
      <c r="P369">
        <f t="shared" si="16"/>
        <v>4</v>
      </c>
      <c r="Q369">
        <f t="shared" si="17"/>
        <v>2024</v>
      </c>
    </row>
    <row r="370" spans="1:17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15"/>
        <v>1</v>
      </c>
      <c r="P370">
        <f t="shared" si="16"/>
        <v>5</v>
      </c>
      <c r="Q370">
        <f t="shared" si="17"/>
        <v>2023</v>
      </c>
    </row>
    <row r="371" spans="1:17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15"/>
        <v>22</v>
      </c>
      <c r="P371">
        <f t="shared" si="16"/>
        <v>12</v>
      </c>
      <c r="Q371">
        <f t="shared" si="17"/>
        <v>2024</v>
      </c>
    </row>
    <row r="372" spans="1:17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15"/>
        <v>3</v>
      </c>
      <c r="P372">
        <f t="shared" si="16"/>
        <v>5</v>
      </c>
      <c r="Q372">
        <f t="shared" si="17"/>
        <v>2025</v>
      </c>
    </row>
    <row r="373" spans="1:17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15"/>
        <v>5</v>
      </c>
      <c r="P373">
        <f t="shared" si="16"/>
        <v>1</v>
      </c>
      <c r="Q373">
        <f t="shared" si="17"/>
        <v>2023</v>
      </c>
    </row>
    <row r="374" spans="1:17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15"/>
        <v>14</v>
      </c>
      <c r="P374">
        <f t="shared" si="16"/>
        <v>2</v>
      </c>
      <c r="Q374">
        <f t="shared" si="17"/>
        <v>2025</v>
      </c>
    </row>
    <row r="375" spans="1:17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15"/>
        <v>2</v>
      </c>
      <c r="P375">
        <f t="shared" si="16"/>
        <v>1</v>
      </c>
      <c r="Q375">
        <f t="shared" si="17"/>
        <v>2023</v>
      </c>
    </row>
    <row r="376" spans="1:17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15"/>
        <v>16</v>
      </c>
      <c r="P376">
        <f t="shared" si="16"/>
        <v>9</v>
      </c>
      <c r="Q376">
        <f t="shared" si="17"/>
        <v>2024</v>
      </c>
    </row>
    <row r="377" spans="1:17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15"/>
        <v>16</v>
      </c>
      <c r="P377">
        <f t="shared" si="16"/>
        <v>1</v>
      </c>
      <c r="Q377">
        <f t="shared" si="17"/>
        <v>2025</v>
      </c>
    </row>
    <row r="378" spans="1:17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15"/>
        <v>24</v>
      </c>
      <c r="P378">
        <f t="shared" si="16"/>
        <v>8</v>
      </c>
      <c r="Q378">
        <f t="shared" si="17"/>
        <v>2023</v>
      </c>
    </row>
    <row r="379" spans="1:17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15"/>
        <v>22</v>
      </c>
      <c r="P379">
        <f t="shared" si="16"/>
        <v>7</v>
      </c>
      <c r="Q379">
        <f t="shared" si="17"/>
        <v>2024</v>
      </c>
    </row>
    <row r="380" spans="1:17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15"/>
        <v>1</v>
      </c>
      <c r="P380">
        <f t="shared" si="16"/>
        <v>2</v>
      </c>
      <c r="Q380">
        <f t="shared" si="17"/>
        <v>2024</v>
      </c>
    </row>
    <row r="381" spans="1:17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15"/>
        <v>21</v>
      </c>
      <c r="P381">
        <f t="shared" si="16"/>
        <v>9</v>
      </c>
      <c r="Q381">
        <f t="shared" si="17"/>
        <v>2024</v>
      </c>
    </row>
    <row r="382" spans="1:17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15"/>
        <v>20</v>
      </c>
      <c r="P382">
        <f t="shared" si="16"/>
        <v>4</v>
      </c>
      <c r="Q382">
        <f t="shared" si="17"/>
        <v>2024</v>
      </c>
    </row>
    <row r="383" spans="1:17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15"/>
        <v>7</v>
      </c>
      <c r="P383">
        <f t="shared" si="16"/>
        <v>6</v>
      </c>
      <c r="Q383">
        <f t="shared" si="17"/>
        <v>2023</v>
      </c>
    </row>
    <row r="384" spans="1:17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15"/>
        <v>30</v>
      </c>
      <c r="P384">
        <f t="shared" si="16"/>
        <v>1</v>
      </c>
      <c r="Q384">
        <f t="shared" si="17"/>
        <v>2025</v>
      </c>
    </row>
    <row r="385" spans="1:17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15"/>
        <v>20</v>
      </c>
      <c r="P385">
        <f t="shared" si="16"/>
        <v>1</v>
      </c>
      <c r="Q385">
        <f t="shared" si="17"/>
        <v>2023</v>
      </c>
    </row>
    <row r="386" spans="1:17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ref="O386:O449" si="18">DAY(B386)</f>
        <v>24</v>
      </c>
      <c r="P386">
        <f t="shared" ref="P386:P449" si="19">MONTH(B386)</f>
        <v>11</v>
      </c>
      <c r="Q386">
        <f t="shared" ref="Q386:Q449" si="20">YEAR(B386)</f>
        <v>2024</v>
      </c>
    </row>
    <row r="387" spans="1:17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si="18"/>
        <v>31</v>
      </c>
      <c r="P387">
        <f t="shared" si="19"/>
        <v>10</v>
      </c>
      <c r="Q387">
        <f t="shared" si="20"/>
        <v>2023</v>
      </c>
    </row>
    <row r="388" spans="1:17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18"/>
        <v>28</v>
      </c>
      <c r="P388">
        <f t="shared" si="19"/>
        <v>4</v>
      </c>
      <c r="Q388">
        <f t="shared" si="20"/>
        <v>2023</v>
      </c>
    </row>
    <row r="389" spans="1:17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18"/>
        <v>27</v>
      </c>
      <c r="P389">
        <f t="shared" si="19"/>
        <v>6</v>
      </c>
      <c r="Q389">
        <f t="shared" si="20"/>
        <v>2024</v>
      </c>
    </row>
    <row r="390" spans="1:17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18"/>
        <v>28</v>
      </c>
      <c r="P390">
        <f t="shared" si="19"/>
        <v>12</v>
      </c>
      <c r="Q390">
        <f t="shared" si="20"/>
        <v>2023</v>
      </c>
    </row>
    <row r="391" spans="1:17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18"/>
        <v>17</v>
      </c>
      <c r="P391">
        <f t="shared" si="19"/>
        <v>12</v>
      </c>
      <c r="Q391">
        <f t="shared" si="20"/>
        <v>2023</v>
      </c>
    </row>
    <row r="392" spans="1:17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18"/>
        <v>14</v>
      </c>
      <c r="P392">
        <f t="shared" si="19"/>
        <v>7</v>
      </c>
      <c r="Q392">
        <f t="shared" si="20"/>
        <v>2023</v>
      </c>
    </row>
    <row r="393" spans="1:17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18"/>
        <v>16</v>
      </c>
      <c r="P393">
        <f t="shared" si="19"/>
        <v>1</v>
      </c>
      <c r="Q393">
        <f t="shared" si="20"/>
        <v>2025</v>
      </c>
    </row>
    <row r="394" spans="1:17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18"/>
        <v>28</v>
      </c>
      <c r="P394">
        <f t="shared" si="19"/>
        <v>2</v>
      </c>
      <c r="Q394">
        <f t="shared" si="20"/>
        <v>2024</v>
      </c>
    </row>
    <row r="395" spans="1:17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18"/>
        <v>14</v>
      </c>
      <c r="P395">
        <f t="shared" si="19"/>
        <v>7</v>
      </c>
      <c r="Q395">
        <f t="shared" si="20"/>
        <v>2024</v>
      </c>
    </row>
    <row r="396" spans="1:17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18"/>
        <v>5</v>
      </c>
      <c r="P396">
        <f t="shared" si="19"/>
        <v>7</v>
      </c>
      <c r="Q396">
        <f t="shared" si="20"/>
        <v>2023</v>
      </c>
    </row>
    <row r="397" spans="1:17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18"/>
        <v>25</v>
      </c>
      <c r="P397">
        <f t="shared" si="19"/>
        <v>4</v>
      </c>
      <c r="Q397">
        <f t="shared" si="20"/>
        <v>2025</v>
      </c>
    </row>
    <row r="398" spans="1:17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18"/>
        <v>1</v>
      </c>
      <c r="P398">
        <f t="shared" si="19"/>
        <v>12</v>
      </c>
      <c r="Q398">
        <f t="shared" si="20"/>
        <v>2023</v>
      </c>
    </row>
    <row r="399" spans="1:17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18"/>
        <v>28</v>
      </c>
      <c r="P399">
        <f t="shared" si="19"/>
        <v>9</v>
      </c>
      <c r="Q399">
        <f t="shared" si="20"/>
        <v>2023</v>
      </c>
    </row>
    <row r="400" spans="1:17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18"/>
        <v>4</v>
      </c>
      <c r="P400">
        <f t="shared" si="19"/>
        <v>9</v>
      </c>
      <c r="Q400">
        <f t="shared" si="20"/>
        <v>2024</v>
      </c>
    </row>
    <row r="401" spans="1:17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18"/>
        <v>7</v>
      </c>
      <c r="P401">
        <f t="shared" si="19"/>
        <v>1</v>
      </c>
      <c r="Q401">
        <f t="shared" si="20"/>
        <v>2024</v>
      </c>
    </row>
    <row r="402" spans="1:17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18"/>
        <v>28</v>
      </c>
      <c r="P402">
        <f t="shared" si="19"/>
        <v>9</v>
      </c>
      <c r="Q402">
        <f t="shared" si="20"/>
        <v>2024</v>
      </c>
    </row>
    <row r="403" spans="1:17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18"/>
        <v>9</v>
      </c>
      <c r="P403">
        <f t="shared" si="19"/>
        <v>4</v>
      </c>
      <c r="Q403">
        <f t="shared" si="20"/>
        <v>2025</v>
      </c>
    </row>
    <row r="404" spans="1:17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18"/>
        <v>9</v>
      </c>
      <c r="P404">
        <f t="shared" si="19"/>
        <v>4</v>
      </c>
      <c r="Q404">
        <f t="shared" si="20"/>
        <v>2023</v>
      </c>
    </row>
    <row r="405" spans="1:17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18"/>
        <v>10</v>
      </c>
      <c r="P405">
        <f t="shared" si="19"/>
        <v>11</v>
      </c>
      <c r="Q405">
        <f t="shared" si="20"/>
        <v>2024</v>
      </c>
    </row>
    <row r="406" spans="1:17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18"/>
        <v>9</v>
      </c>
      <c r="P406">
        <f t="shared" si="19"/>
        <v>3</v>
      </c>
      <c r="Q406">
        <f t="shared" si="20"/>
        <v>2023</v>
      </c>
    </row>
    <row r="407" spans="1:17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18"/>
        <v>26</v>
      </c>
      <c r="P407">
        <f t="shared" si="19"/>
        <v>1</v>
      </c>
      <c r="Q407">
        <f t="shared" si="20"/>
        <v>2025</v>
      </c>
    </row>
    <row r="408" spans="1:17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18"/>
        <v>10</v>
      </c>
      <c r="P408">
        <f t="shared" si="19"/>
        <v>12</v>
      </c>
      <c r="Q408">
        <f t="shared" si="20"/>
        <v>2023</v>
      </c>
    </row>
    <row r="409" spans="1:17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18"/>
        <v>13</v>
      </c>
      <c r="P409">
        <f t="shared" si="19"/>
        <v>8</v>
      </c>
      <c r="Q409">
        <f t="shared" si="20"/>
        <v>2023</v>
      </c>
    </row>
    <row r="410" spans="1:17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18"/>
        <v>1</v>
      </c>
      <c r="P410">
        <f t="shared" si="19"/>
        <v>1</v>
      </c>
      <c r="Q410">
        <f t="shared" si="20"/>
        <v>2025</v>
      </c>
    </row>
    <row r="411" spans="1:17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18"/>
        <v>28</v>
      </c>
      <c r="P411">
        <f t="shared" si="19"/>
        <v>6</v>
      </c>
      <c r="Q411">
        <f t="shared" si="20"/>
        <v>2023</v>
      </c>
    </row>
    <row r="412" spans="1:17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18"/>
        <v>18</v>
      </c>
      <c r="P412">
        <f t="shared" si="19"/>
        <v>1</v>
      </c>
      <c r="Q412">
        <f t="shared" si="20"/>
        <v>2024</v>
      </c>
    </row>
    <row r="413" spans="1:17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18"/>
        <v>19</v>
      </c>
      <c r="P413">
        <f t="shared" si="19"/>
        <v>6</v>
      </c>
      <c r="Q413">
        <f t="shared" si="20"/>
        <v>2024</v>
      </c>
    </row>
    <row r="414" spans="1:17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18"/>
        <v>11</v>
      </c>
      <c r="P414">
        <f t="shared" si="19"/>
        <v>4</v>
      </c>
      <c r="Q414">
        <f t="shared" si="20"/>
        <v>2025</v>
      </c>
    </row>
    <row r="415" spans="1:17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18"/>
        <v>8</v>
      </c>
      <c r="P415">
        <f t="shared" si="19"/>
        <v>10</v>
      </c>
      <c r="Q415">
        <f t="shared" si="20"/>
        <v>2023</v>
      </c>
    </row>
    <row r="416" spans="1:17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18"/>
        <v>4</v>
      </c>
      <c r="P416">
        <f t="shared" si="19"/>
        <v>5</v>
      </c>
      <c r="Q416">
        <f t="shared" si="20"/>
        <v>2025</v>
      </c>
    </row>
    <row r="417" spans="1:17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18"/>
        <v>6</v>
      </c>
      <c r="P417">
        <f t="shared" si="19"/>
        <v>4</v>
      </c>
      <c r="Q417">
        <f t="shared" si="20"/>
        <v>2025</v>
      </c>
    </row>
    <row r="418" spans="1:17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18"/>
        <v>18</v>
      </c>
      <c r="P418">
        <f t="shared" si="19"/>
        <v>7</v>
      </c>
      <c r="Q418">
        <f t="shared" si="20"/>
        <v>2023</v>
      </c>
    </row>
    <row r="419" spans="1:17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18"/>
        <v>24</v>
      </c>
      <c r="P419">
        <f t="shared" si="19"/>
        <v>10</v>
      </c>
      <c r="Q419">
        <f t="shared" si="20"/>
        <v>2023</v>
      </c>
    </row>
    <row r="420" spans="1:17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18"/>
        <v>11</v>
      </c>
      <c r="P420">
        <f t="shared" si="19"/>
        <v>1</v>
      </c>
      <c r="Q420">
        <f t="shared" si="20"/>
        <v>2023</v>
      </c>
    </row>
    <row r="421" spans="1:17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18"/>
        <v>17</v>
      </c>
      <c r="P421">
        <f t="shared" si="19"/>
        <v>4</v>
      </c>
      <c r="Q421">
        <f t="shared" si="20"/>
        <v>2024</v>
      </c>
    </row>
    <row r="422" spans="1:17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18"/>
        <v>29</v>
      </c>
      <c r="P422">
        <f t="shared" si="19"/>
        <v>11</v>
      </c>
      <c r="Q422">
        <f t="shared" si="20"/>
        <v>2024</v>
      </c>
    </row>
    <row r="423" spans="1:17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18"/>
        <v>15</v>
      </c>
      <c r="P423">
        <f t="shared" si="19"/>
        <v>10</v>
      </c>
      <c r="Q423">
        <f t="shared" si="20"/>
        <v>2023</v>
      </c>
    </row>
    <row r="424" spans="1:17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18"/>
        <v>5</v>
      </c>
      <c r="P424">
        <f t="shared" si="19"/>
        <v>6</v>
      </c>
      <c r="Q424">
        <f t="shared" si="20"/>
        <v>2023</v>
      </c>
    </row>
    <row r="425" spans="1:17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18"/>
        <v>20</v>
      </c>
      <c r="P425">
        <f t="shared" si="19"/>
        <v>7</v>
      </c>
      <c r="Q425">
        <f t="shared" si="20"/>
        <v>2024</v>
      </c>
    </row>
    <row r="426" spans="1:17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18"/>
        <v>12</v>
      </c>
      <c r="P426">
        <f t="shared" si="19"/>
        <v>4</v>
      </c>
      <c r="Q426">
        <f t="shared" si="20"/>
        <v>2023</v>
      </c>
    </row>
    <row r="427" spans="1:17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18"/>
        <v>9</v>
      </c>
      <c r="P427">
        <f t="shared" si="19"/>
        <v>3</v>
      </c>
      <c r="Q427">
        <f t="shared" si="20"/>
        <v>2023</v>
      </c>
    </row>
    <row r="428" spans="1:17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18"/>
        <v>16</v>
      </c>
      <c r="P428">
        <f t="shared" si="19"/>
        <v>3</v>
      </c>
      <c r="Q428">
        <f t="shared" si="20"/>
        <v>2025</v>
      </c>
    </row>
    <row r="429" spans="1:17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18"/>
        <v>18</v>
      </c>
      <c r="P429">
        <f t="shared" si="19"/>
        <v>12</v>
      </c>
      <c r="Q429">
        <f t="shared" si="20"/>
        <v>2024</v>
      </c>
    </row>
    <row r="430" spans="1:17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18"/>
        <v>26</v>
      </c>
      <c r="P430">
        <f t="shared" si="19"/>
        <v>11</v>
      </c>
      <c r="Q430">
        <f t="shared" si="20"/>
        <v>2024</v>
      </c>
    </row>
    <row r="431" spans="1:17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18"/>
        <v>19</v>
      </c>
      <c r="P431">
        <f t="shared" si="19"/>
        <v>12</v>
      </c>
      <c r="Q431">
        <f t="shared" si="20"/>
        <v>2024</v>
      </c>
    </row>
    <row r="432" spans="1:17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18"/>
        <v>7</v>
      </c>
      <c r="P432">
        <f t="shared" si="19"/>
        <v>6</v>
      </c>
      <c r="Q432">
        <f t="shared" si="20"/>
        <v>2023</v>
      </c>
    </row>
    <row r="433" spans="1:17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18"/>
        <v>6</v>
      </c>
      <c r="P433">
        <f t="shared" si="19"/>
        <v>10</v>
      </c>
      <c r="Q433">
        <f t="shared" si="20"/>
        <v>2024</v>
      </c>
    </row>
    <row r="434" spans="1:17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18"/>
        <v>4</v>
      </c>
      <c r="P434">
        <f t="shared" si="19"/>
        <v>9</v>
      </c>
      <c r="Q434">
        <f t="shared" si="20"/>
        <v>2023</v>
      </c>
    </row>
    <row r="435" spans="1:17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18"/>
        <v>26</v>
      </c>
      <c r="P435">
        <f t="shared" si="19"/>
        <v>8</v>
      </c>
      <c r="Q435">
        <f t="shared" si="20"/>
        <v>2023</v>
      </c>
    </row>
    <row r="436" spans="1:17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18"/>
        <v>22</v>
      </c>
      <c r="P436">
        <f t="shared" si="19"/>
        <v>10</v>
      </c>
      <c r="Q436">
        <f t="shared" si="20"/>
        <v>2023</v>
      </c>
    </row>
    <row r="437" spans="1:17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18"/>
        <v>27</v>
      </c>
      <c r="P437">
        <f t="shared" si="19"/>
        <v>5</v>
      </c>
      <c r="Q437">
        <f t="shared" si="20"/>
        <v>2023</v>
      </c>
    </row>
    <row r="438" spans="1:17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18"/>
        <v>11</v>
      </c>
      <c r="P438">
        <f t="shared" si="19"/>
        <v>2</v>
      </c>
      <c r="Q438">
        <f t="shared" si="20"/>
        <v>2023</v>
      </c>
    </row>
    <row r="439" spans="1:17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18"/>
        <v>18</v>
      </c>
      <c r="P439">
        <f t="shared" si="19"/>
        <v>4</v>
      </c>
      <c r="Q439">
        <f t="shared" si="20"/>
        <v>2024</v>
      </c>
    </row>
    <row r="440" spans="1:17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18"/>
        <v>3</v>
      </c>
      <c r="P440">
        <f t="shared" si="19"/>
        <v>1</v>
      </c>
      <c r="Q440">
        <f t="shared" si="20"/>
        <v>2025</v>
      </c>
    </row>
    <row r="441" spans="1:17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18"/>
        <v>8</v>
      </c>
      <c r="P441">
        <f t="shared" si="19"/>
        <v>9</v>
      </c>
      <c r="Q441">
        <f t="shared" si="20"/>
        <v>2024</v>
      </c>
    </row>
    <row r="442" spans="1:17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18"/>
        <v>5</v>
      </c>
      <c r="P442">
        <f t="shared" si="19"/>
        <v>11</v>
      </c>
      <c r="Q442">
        <f t="shared" si="20"/>
        <v>2024</v>
      </c>
    </row>
    <row r="443" spans="1:17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18"/>
        <v>13</v>
      </c>
      <c r="P443">
        <f t="shared" si="19"/>
        <v>12</v>
      </c>
      <c r="Q443">
        <f t="shared" si="20"/>
        <v>2023</v>
      </c>
    </row>
    <row r="444" spans="1:17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18"/>
        <v>6</v>
      </c>
      <c r="P444">
        <f t="shared" si="19"/>
        <v>5</v>
      </c>
      <c r="Q444">
        <f t="shared" si="20"/>
        <v>2024</v>
      </c>
    </row>
    <row r="445" spans="1:17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18"/>
        <v>14</v>
      </c>
      <c r="P445">
        <f t="shared" si="19"/>
        <v>5</v>
      </c>
      <c r="Q445">
        <f t="shared" si="20"/>
        <v>2024</v>
      </c>
    </row>
    <row r="446" spans="1:17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18"/>
        <v>8</v>
      </c>
      <c r="P446">
        <f t="shared" si="19"/>
        <v>6</v>
      </c>
      <c r="Q446">
        <f t="shared" si="20"/>
        <v>2024</v>
      </c>
    </row>
    <row r="447" spans="1:17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18"/>
        <v>23</v>
      </c>
      <c r="P447">
        <f t="shared" si="19"/>
        <v>3</v>
      </c>
      <c r="Q447">
        <f t="shared" si="20"/>
        <v>2024</v>
      </c>
    </row>
    <row r="448" spans="1:17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18"/>
        <v>18</v>
      </c>
      <c r="P448">
        <f t="shared" si="19"/>
        <v>10</v>
      </c>
      <c r="Q448">
        <f t="shared" si="20"/>
        <v>2023</v>
      </c>
    </row>
    <row r="449" spans="1:17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18"/>
        <v>7</v>
      </c>
      <c r="P449">
        <f t="shared" si="19"/>
        <v>4</v>
      </c>
      <c r="Q449">
        <f t="shared" si="20"/>
        <v>2024</v>
      </c>
    </row>
    <row r="450" spans="1:17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ref="O450:O513" si="21">DAY(B450)</f>
        <v>4</v>
      </c>
      <c r="P450">
        <f t="shared" ref="P450:P513" si="22">MONTH(B450)</f>
        <v>9</v>
      </c>
      <c r="Q450">
        <f t="shared" ref="Q450:Q513" si="23">YEAR(B450)</f>
        <v>2023</v>
      </c>
    </row>
    <row r="451" spans="1:17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</v>
      </c>
      <c r="O451">
        <f t="shared" si="21"/>
        <v>26</v>
      </c>
      <c r="P451">
        <f t="shared" si="22"/>
        <v>8</v>
      </c>
      <c r="Q451">
        <f t="shared" si="23"/>
        <v>2024</v>
      </c>
    </row>
    <row r="452" spans="1:17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21"/>
        <v>15</v>
      </c>
      <c r="P452">
        <f t="shared" si="22"/>
        <v>1</v>
      </c>
      <c r="Q452">
        <f t="shared" si="23"/>
        <v>2024</v>
      </c>
    </row>
    <row r="453" spans="1:17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21"/>
        <v>1</v>
      </c>
      <c r="P453">
        <f t="shared" si="22"/>
        <v>4</v>
      </c>
      <c r="Q453">
        <f t="shared" si="23"/>
        <v>2023</v>
      </c>
    </row>
    <row r="454" spans="1:17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21"/>
        <v>23</v>
      </c>
      <c r="P454">
        <f t="shared" si="22"/>
        <v>7</v>
      </c>
      <c r="Q454">
        <f t="shared" si="23"/>
        <v>2023</v>
      </c>
    </row>
    <row r="455" spans="1:17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21"/>
        <v>2</v>
      </c>
      <c r="P455">
        <f t="shared" si="22"/>
        <v>5</v>
      </c>
      <c r="Q455">
        <f t="shared" si="23"/>
        <v>2025</v>
      </c>
    </row>
    <row r="456" spans="1:17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21"/>
        <v>27</v>
      </c>
      <c r="P456">
        <f t="shared" si="22"/>
        <v>11</v>
      </c>
      <c r="Q456">
        <f t="shared" si="23"/>
        <v>2024</v>
      </c>
    </row>
    <row r="457" spans="1:17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21"/>
        <v>26</v>
      </c>
      <c r="P457">
        <f t="shared" si="22"/>
        <v>3</v>
      </c>
      <c r="Q457">
        <f t="shared" si="23"/>
        <v>2024</v>
      </c>
    </row>
    <row r="458" spans="1:17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21"/>
        <v>26</v>
      </c>
      <c r="P458">
        <f t="shared" si="22"/>
        <v>6</v>
      </c>
      <c r="Q458">
        <f t="shared" si="23"/>
        <v>2023</v>
      </c>
    </row>
    <row r="459" spans="1:17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21"/>
        <v>25</v>
      </c>
      <c r="P459">
        <f t="shared" si="22"/>
        <v>5</v>
      </c>
      <c r="Q459">
        <f t="shared" si="23"/>
        <v>2025</v>
      </c>
    </row>
    <row r="460" spans="1:17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21"/>
        <v>2</v>
      </c>
      <c r="P460">
        <f t="shared" si="22"/>
        <v>7</v>
      </c>
      <c r="Q460">
        <f t="shared" si="23"/>
        <v>2024</v>
      </c>
    </row>
    <row r="461" spans="1:17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21"/>
        <v>24</v>
      </c>
      <c r="P461">
        <f t="shared" si="22"/>
        <v>7</v>
      </c>
      <c r="Q461">
        <f t="shared" si="23"/>
        <v>2024</v>
      </c>
    </row>
    <row r="462" spans="1:17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21"/>
        <v>6</v>
      </c>
      <c r="P462">
        <f t="shared" si="22"/>
        <v>10</v>
      </c>
      <c r="Q462">
        <f t="shared" si="23"/>
        <v>2024</v>
      </c>
    </row>
    <row r="463" spans="1:17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21"/>
        <v>8</v>
      </c>
      <c r="P463">
        <f t="shared" si="22"/>
        <v>6</v>
      </c>
      <c r="Q463">
        <f t="shared" si="23"/>
        <v>2024</v>
      </c>
    </row>
    <row r="464" spans="1:17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21"/>
        <v>31</v>
      </c>
      <c r="P464">
        <f t="shared" si="22"/>
        <v>3</v>
      </c>
      <c r="Q464">
        <f t="shared" si="23"/>
        <v>2025</v>
      </c>
    </row>
    <row r="465" spans="1:17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21"/>
        <v>26</v>
      </c>
      <c r="P465">
        <f t="shared" si="22"/>
        <v>5</v>
      </c>
      <c r="Q465">
        <f t="shared" si="23"/>
        <v>2023</v>
      </c>
    </row>
    <row r="466" spans="1:17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21"/>
        <v>14</v>
      </c>
      <c r="P466">
        <f t="shared" si="22"/>
        <v>3</v>
      </c>
      <c r="Q466">
        <f t="shared" si="23"/>
        <v>2023</v>
      </c>
    </row>
    <row r="467" spans="1:17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21"/>
        <v>26</v>
      </c>
      <c r="P467">
        <f t="shared" si="22"/>
        <v>2</v>
      </c>
      <c r="Q467">
        <f t="shared" si="23"/>
        <v>2024</v>
      </c>
    </row>
    <row r="468" spans="1:17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21"/>
        <v>18</v>
      </c>
      <c r="P468">
        <f t="shared" si="22"/>
        <v>7</v>
      </c>
      <c r="Q468">
        <f t="shared" si="23"/>
        <v>2023</v>
      </c>
    </row>
    <row r="469" spans="1:17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21"/>
        <v>30</v>
      </c>
      <c r="P469">
        <f t="shared" si="22"/>
        <v>8</v>
      </c>
      <c r="Q469">
        <f t="shared" si="23"/>
        <v>2024</v>
      </c>
    </row>
    <row r="470" spans="1:17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21"/>
        <v>21</v>
      </c>
      <c r="P470">
        <f t="shared" si="22"/>
        <v>6</v>
      </c>
      <c r="Q470">
        <f t="shared" si="23"/>
        <v>2025</v>
      </c>
    </row>
    <row r="471" spans="1:17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21"/>
        <v>26</v>
      </c>
      <c r="P471">
        <f t="shared" si="22"/>
        <v>11</v>
      </c>
      <c r="Q471">
        <f t="shared" si="23"/>
        <v>2023</v>
      </c>
    </row>
    <row r="472" spans="1:17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21"/>
        <v>29</v>
      </c>
      <c r="P472">
        <f t="shared" si="22"/>
        <v>9</v>
      </c>
      <c r="Q472">
        <f t="shared" si="23"/>
        <v>2023</v>
      </c>
    </row>
    <row r="473" spans="1:17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21"/>
        <v>19</v>
      </c>
      <c r="P473">
        <f t="shared" si="22"/>
        <v>4</v>
      </c>
      <c r="Q473">
        <f t="shared" si="23"/>
        <v>2025</v>
      </c>
    </row>
    <row r="474" spans="1:17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21"/>
        <v>6</v>
      </c>
      <c r="P474">
        <f t="shared" si="22"/>
        <v>1</v>
      </c>
      <c r="Q474">
        <f t="shared" si="23"/>
        <v>2023</v>
      </c>
    </row>
    <row r="475" spans="1:17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21"/>
        <v>25</v>
      </c>
      <c r="P475">
        <f t="shared" si="22"/>
        <v>2</v>
      </c>
      <c r="Q475">
        <f t="shared" si="23"/>
        <v>2025</v>
      </c>
    </row>
    <row r="476" spans="1:17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21"/>
        <v>15</v>
      </c>
      <c r="P476">
        <f t="shared" si="22"/>
        <v>11</v>
      </c>
      <c r="Q476">
        <f t="shared" si="23"/>
        <v>2023</v>
      </c>
    </row>
    <row r="477" spans="1:17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21"/>
        <v>19</v>
      </c>
      <c r="P477">
        <f t="shared" si="22"/>
        <v>4</v>
      </c>
      <c r="Q477">
        <f t="shared" si="23"/>
        <v>2025</v>
      </c>
    </row>
    <row r="478" spans="1:17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21"/>
        <v>15</v>
      </c>
      <c r="P478">
        <f t="shared" si="22"/>
        <v>1</v>
      </c>
      <c r="Q478">
        <f t="shared" si="23"/>
        <v>2024</v>
      </c>
    </row>
    <row r="479" spans="1:17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21"/>
        <v>5</v>
      </c>
      <c r="P479">
        <f t="shared" si="22"/>
        <v>3</v>
      </c>
      <c r="Q479">
        <f t="shared" si="23"/>
        <v>2025</v>
      </c>
    </row>
    <row r="480" spans="1:17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21"/>
        <v>1</v>
      </c>
      <c r="P480">
        <f t="shared" si="22"/>
        <v>11</v>
      </c>
      <c r="Q480">
        <f t="shared" si="23"/>
        <v>2024</v>
      </c>
    </row>
    <row r="481" spans="1:17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21"/>
        <v>18</v>
      </c>
      <c r="P481">
        <f t="shared" si="22"/>
        <v>2</v>
      </c>
      <c r="Q481">
        <f t="shared" si="23"/>
        <v>2023</v>
      </c>
    </row>
    <row r="482" spans="1:17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21"/>
        <v>16</v>
      </c>
      <c r="P482">
        <f t="shared" si="22"/>
        <v>6</v>
      </c>
      <c r="Q482">
        <f t="shared" si="23"/>
        <v>2023</v>
      </c>
    </row>
    <row r="483" spans="1:17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21"/>
        <v>23</v>
      </c>
      <c r="P483">
        <f t="shared" si="22"/>
        <v>4</v>
      </c>
      <c r="Q483">
        <f t="shared" si="23"/>
        <v>2023</v>
      </c>
    </row>
    <row r="484" spans="1:17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21"/>
        <v>2</v>
      </c>
      <c r="P484">
        <f t="shared" si="22"/>
        <v>3</v>
      </c>
      <c r="Q484">
        <f t="shared" si="23"/>
        <v>2025</v>
      </c>
    </row>
    <row r="485" spans="1:17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21"/>
        <v>18</v>
      </c>
      <c r="P485">
        <f t="shared" si="22"/>
        <v>1</v>
      </c>
      <c r="Q485">
        <f t="shared" si="23"/>
        <v>2023</v>
      </c>
    </row>
    <row r="486" spans="1:17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21"/>
        <v>29</v>
      </c>
      <c r="P486">
        <f t="shared" si="22"/>
        <v>5</v>
      </c>
      <c r="Q486">
        <f t="shared" si="23"/>
        <v>2024</v>
      </c>
    </row>
    <row r="487" spans="1:17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21"/>
        <v>1</v>
      </c>
      <c r="P487">
        <f t="shared" si="22"/>
        <v>8</v>
      </c>
      <c r="Q487">
        <f t="shared" si="23"/>
        <v>2023</v>
      </c>
    </row>
    <row r="488" spans="1:17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21"/>
        <v>3</v>
      </c>
      <c r="P488">
        <f t="shared" si="22"/>
        <v>2</v>
      </c>
      <c r="Q488">
        <f t="shared" si="23"/>
        <v>2023</v>
      </c>
    </row>
    <row r="489" spans="1:17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21"/>
        <v>9</v>
      </c>
      <c r="P489">
        <f t="shared" si="22"/>
        <v>3</v>
      </c>
      <c r="Q489">
        <f t="shared" si="23"/>
        <v>2023</v>
      </c>
    </row>
    <row r="490" spans="1:17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21"/>
        <v>5</v>
      </c>
      <c r="P490">
        <f t="shared" si="22"/>
        <v>12</v>
      </c>
      <c r="Q490">
        <f t="shared" si="23"/>
        <v>2024</v>
      </c>
    </row>
    <row r="491" spans="1:17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21"/>
        <v>5</v>
      </c>
      <c r="P491">
        <f t="shared" si="22"/>
        <v>9</v>
      </c>
      <c r="Q491">
        <f t="shared" si="23"/>
        <v>2023</v>
      </c>
    </row>
    <row r="492" spans="1:17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21"/>
        <v>22</v>
      </c>
      <c r="P492">
        <f t="shared" si="22"/>
        <v>7</v>
      </c>
      <c r="Q492">
        <f t="shared" si="23"/>
        <v>2024</v>
      </c>
    </row>
    <row r="493" spans="1:17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21"/>
        <v>5</v>
      </c>
      <c r="P493">
        <f t="shared" si="22"/>
        <v>1</v>
      </c>
      <c r="Q493">
        <f t="shared" si="23"/>
        <v>2023</v>
      </c>
    </row>
    <row r="494" spans="1:17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21"/>
        <v>25</v>
      </c>
      <c r="P494">
        <f t="shared" si="22"/>
        <v>10</v>
      </c>
      <c r="Q494">
        <f t="shared" si="23"/>
        <v>2023</v>
      </c>
    </row>
    <row r="495" spans="1:17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21"/>
        <v>28</v>
      </c>
      <c r="P495">
        <f t="shared" si="22"/>
        <v>1</v>
      </c>
      <c r="Q495">
        <f t="shared" si="23"/>
        <v>2025</v>
      </c>
    </row>
    <row r="496" spans="1:17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21"/>
        <v>19</v>
      </c>
      <c r="P496">
        <f t="shared" si="22"/>
        <v>7</v>
      </c>
      <c r="Q496">
        <f t="shared" si="23"/>
        <v>2023</v>
      </c>
    </row>
    <row r="497" spans="1:17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21"/>
        <v>5</v>
      </c>
      <c r="P497">
        <f t="shared" si="22"/>
        <v>6</v>
      </c>
      <c r="Q497">
        <f t="shared" si="23"/>
        <v>2025</v>
      </c>
    </row>
    <row r="498" spans="1:17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21"/>
        <v>14</v>
      </c>
      <c r="P498">
        <f t="shared" si="22"/>
        <v>3</v>
      </c>
      <c r="Q498">
        <f t="shared" si="23"/>
        <v>2025</v>
      </c>
    </row>
    <row r="499" spans="1:17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21"/>
        <v>24</v>
      </c>
      <c r="P499">
        <f t="shared" si="22"/>
        <v>10</v>
      </c>
      <c r="Q499">
        <f t="shared" si="23"/>
        <v>2024</v>
      </c>
    </row>
    <row r="500" spans="1:17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21"/>
        <v>12</v>
      </c>
      <c r="P500">
        <f t="shared" si="22"/>
        <v>7</v>
      </c>
      <c r="Q500">
        <f t="shared" si="23"/>
        <v>2023</v>
      </c>
    </row>
    <row r="501" spans="1:17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21"/>
        <v>6</v>
      </c>
      <c r="P501">
        <f t="shared" si="22"/>
        <v>4</v>
      </c>
      <c r="Q501">
        <f t="shared" si="23"/>
        <v>2023</v>
      </c>
    </row>
    <row r="502" spans="1:17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21"/>
        <v>7</v>
      </c>
      <c r="P502">
        <f t="shared" si="22"/>
        <v>4</v>
      </c>
      <c r="Q502">
        <f t="shared" si="23"/>
        <v>2024</v>
      </c>
    </row>
    <row r="503" spans="1:17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21"/>
        <v>4</v>
      </c>
      <c r="P503">
        <f t="shared" si="22"/>
        <v>2</v>
      </c>
      <c r="Q503">
        <f t="shared" si="23"/>
        <v>2024</v>
      </c>
    </row>
    <row r="504" spans="1:17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21"/>
        <v>20</v>
      </c>
      <c r="P504">
        <f t="shared" si="22"/>
        <v>5</v>
      </c>
      <c r="Q504">
        <f t="shared" si="23"/>
        <v>2023</v>
      </c>
    </row>
    <row r="505" spans="1:17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21"/>
        <v>31</v>
      </c>
      <c r="P505">
        <f t="shared" si="22"/>
        <v>8</v>
      </c>
      <c r="Q505">
        <f t="shared" si="23"/>
        <v>2023</v>
      </c>
    </row>
    <row r="506" spans="1:17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21"/>
        <v>11</v>
      </c>
      <c r="P506">
        <f t="shared" si="22"/>
        <v>6</v>
      </c>
      <c r="Q506">
        <f t="shared" si="23"/>
        <v>2025</v>
      </c>
    </row>
    <row r="507" spans="1:17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21"/>
        <v>11</v>
      </c>
      <c r="P507">
        <f t="shared" si="22"/>
        <v>6</v>
      </c>
      <c r="Q507">
        <f t="shared" si="23"/>
        <v>2023</v>
      </c>
    </row>
    <row r="508" spans="1:17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21"/>
        <v>25</v>
      </c>
      <c r="P508">
        <f t="shared" si="22"/>
        <v>7</v>
      </c>
      <c r="Q508">
        <f t="shared" si="23"/>
        <v>2023</v>
      </c>
    </row>
    <row r="509" spans="1:17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21"/>
        <v>5</v>
      </c>
      <c r="P509">
        <f t="shared" si="22"/>
        <v>7</v>
      </c>
      <c r="Q509">
        <f t="shared" si="23"/>
        <v>2023</v>
      </c>
    </row>
    <row r="510" spans="1:17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21"/>
        <v>14</v>
      </c>
      <c r="P510">
        <f t="shared" si="22"/>
        <v>5</v>
      </c>
      <c r="Q510">
        <f t="shared" si="23"/>
        <v>2025</v>
      </c>
    </row>
    <row r="511" spans="1:17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21"/>
        <v>15</v>
      </c>
      <c r="P511">
        <f t="shared" si="22"/>
        <v>2</v>
      </c>
      <c r="Q511">
        <f t="shared" si="23"/>
        <v>2023</v>
      </c>
    </row>
    <row r="512" spans="1:17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21"/>
        <v>16</v>
      </c>
      <c r="P512">
        <f t="shared" si="22"/>
        <v>12</v>
      </c>
      <c r="Q512">
        <f t="shared" si="23"/>
        <v>2024</v>
      </c>
    </row>
    <row r="513" spans="1:17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21"/>
        <v>15</v>
      </c>
      <c r="P513">
        <f t="shared" si="22"/>
        <v>3</v>
      </c>
      <c r="Q513">
        <f t="shared" si="23"/>
        <v>2024</v>
      </c>
    </row>
    <row r="514" spans="1:17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ref="O514:O577" si="24">DAY(B514)</f>
        <v>27</v>
      </c>
      <c r="P514">
        <f t="shared" ref="P514:P577" si="25">MONTH(B514)</f>
        <v>9</v>
      </c>
      <c r="Q514">
        <f t="shared" ref="Q514:Q577" si="26">YEAR(B514)</f>
        <v>2024</v>
      </c>
    </row>
    <row r="515" spans="1:17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si="24"/>
        <v>9</v>
      </c>
      <c r="P515">
        <f t="shared" si="25"/>
        <v>2</v>
      </c>
      <c r="Q515">
        <f t="shared" si="26"/>
        <v>2025</v>
      </c>
    </row>
    <row r="516" spans="1:17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912.45</v>
      </c>
      <c r="O516">
        <f t="shared" si="24"/>
        <v>16</v>
      </c>
      <c r="P516">
        <f t="shared" si="25"/>
        <v>4</v>
      </c>
      <c r="Q516">
        <f t="shared" si="26"/>
        <v>2023</v>
      </c>
    </row>
    <row r="517" spans="1:17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24"/>
        <v>14</v>
      </c>
      <c r="P517">
        <f t="shared" si="25"/>
        <v>3</v>
      </c>
      <c r="Q517">
        <f t="shared" si="26"/>
        <v>2023</v>
      </c>
    </row>
    <row r="518" spans="1:17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24"/>
        <v>7</v>
      </c>
      <c r="P518">
        <f t="shared" si="25"/>
        <v>4</v>
      </c>
      <c r="Q518">
        <f t="shared" si="26"/>
        <v>2024</v>
      </c>
    </row>
    <row r="519" spans="1:17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24"/>
        <v>9</v>
      </c>
      <c r="P519">
        <f t="shared" si="25"/>
        <v>4</v>
      </c>
      <c r="Q519">
        <f t="shared" si="26"/>
        <v>2024</v>
      </c>
    </row>
    <row r="520" spans="1:17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24"/>
        <v>13</v>
      </c>
      <c r="P520">
        <f t="shared" si="25"/>
        <v>6</v>
      </c>
      <c r="Q520">
        <f t="shared" si="26"/>
        <v>2025</v>
      </c>
    </row>
    <row r="521" spans="1:17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24"/>
        <v>10</v>
      </c>
      <c r="P521">
        <f t="shared" si="25"/>
        <v>5</v>
      </c>
      <c r="Q521">
        <f t="shared" si="26"/>
        <v>2025</v>
      </c>
    </row>
    <row r="522" spans="1:17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24"/>
        <v>10</v>
      </c>
      <c r="P522">
        <f t="shared" si="25"/>
        <v>3</v>
      </c>
      <c r="Q522">
        <f t="shared" si="26"/>
        <v>2023</v>
      </c>
    </row>
    <row r="523" spans="1:17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24"/>
        <v>25</v>
      </c>
      <c r="P523">
        <f t="shared" si="25"/>
        <v>2</v>
      </c>
      <c r="Q523">
        <f t="shared" si="26"/>
        <v>2024</v>
      </c>
    </row>
    <row r="524" spans="1:17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24"/>
        <v>20</v>
      </c>
      <c r="P524">
        <f t="shared" si="25"/>
        <v>4</v>
      </c>
      <c r="Q524">
        <f t="shared" si="26"/>
        <v>2024</v>
      </c>
    </row>
    <row r="525" spans="1:17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24"/>
        <v>18</v>
      </c>
      <c r="P525">
        <f t="shared" si="25"/>
        <v>2</v>
      </c>
      <c r="Q525">
        <f t="shared" si="26"/>
        <v>2025</v>
      </c>
    </row>
    <row r="526" spans="1:17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24"/>
        <v>25</v>
      </c>
      <c r="P526">
        <f t="shared" si="25"/>
        <v>10</v>
      </c>
      <c r="Q526">
        <f t="shared" si="26"/>
        <v>2023</v>
      </c>
    </row>
    <row r="527" spans="1:17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24"/>
        <v>3</v>
      </c>
      <c r="P527">
        <f t="shared" si="25"/>
        <v>12</v>
      </c>
      <c r="Q527">
        <f t="shared" si="26"/>
        <v>2023</v>
      </c>
    </row>
    <row r="528" spans="1:17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24"/>
        <v>29</v>
      </c>
      <c r="P528">
        <f t="shared" si="25"/>
        <v>2</v>
      </c>
      <c r="Q528">
        <f t="shared" si="26"/>
        <v>2024</v>
      </c>
    </row>
    <row r="529" spans="1:17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24"/>
        <v>19</v>
      </c>
      <c r="P529">
        <f t="shared" si="25"/>
        <v>8</v>
      </c>
      <c r="Q529">
        <f t="shared" si="26"/>
        <v>2024</v>
      </c>
    </row>
    <row r="530" spans="1:17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24"/>
        <v>26</v>
      </c>
      <c r="P530">
        <f t="shared" si="25"/>
        <v>2</v>
      </c>
      <c r="Q530">
        <f t="shared" si="26"/>
        <v>2025</v>
      </c>
    </row>
    <row r="531" spans="1:17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24"/>
        <v>7</v>
      </c>
      <c r="P531">
        <f t="shared" si="25"/>
        <v>4</v>
      </c>
      <c r="Q531">
        <f t="shared" si="26"/>
        <v>2024</v>
      </c>
    </row>
    <row r="532" spans="1:17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24"/>
        <v>18</v>
      </c>
      <c r="P532">
        <f t="shared" si="25"/>
        <v>7</v>
      </c>
      <c r="Q532">
        <f t="shared" si="26"/>
        <v>2024</v>
      </c>
    </row>
    <row r="533" spans="1:17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24"/>
        <v>2</v>
      </c>
      <c r="P533">
        <f t="shared" si="25"/>
        <v>7</v>
      </c>
      <c r="Q533">
        <f t="shared" si="26"/>
        <v>2024</v>
      </c>
    </row>
    <row r="534" spans="1:17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24"/>
        <v>3</v>
      </c>
      <c r="P534">
        <f t="shared" si="25"/>
        <v>5</v>
      </c>
      <c r="Q534">
        <f t="shared" si="26"/>
        <v>2025</v>
      </c>
    </row>
    <row r="535" spans="1:17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24"/>
        <v>5</v>
      </c>
      <c r="P535">
        <f t="shared" si="25"/>
        <v>3</v>
      </c>
      <c r="Q535">
        <f t="shared" si="26"/>
        <v>2023</v>
      </c>
    </row>
    <row r="536" spans="1:17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24"/>
        <v>6</v>
      </c>
      <c r="P536">
        <f t="shared" si="25"/>
        <v>6</v>
      </c>
      <c r="Q536">
        <f t="shared" si="26"/>
        <v>2024</v>
      </c>
    </row>
    <row r="537" spans="1:17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24"/>
        <v>24</v>
      </c>
      <c r="P537">
        <f t="shared" si="25"/>
        <v>7</v>
      </c>
      <c r="Q537">
        <f t="shared" si="26"/>
        <v>2024</v>
      </c>
    </row>
    <row r="538" spans="1:17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24"/>
        <v>9</v>
      </c>
      <c r="P538">
        <f t="shared" si="25"/>
        <v>6</v>
      </c>
      <c r="Q538">
        <f t="shared" si="26"/>
        <v>2024</v>
      </c>
    </row>
    <row r="539" spans="1:17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24"/>
        <v>23</v>
      </c>
      <c r="P539">
        <f t="shared" si="25"/>
        <v>3</v>
      </c>
      <c r="Q539">
        <f t="shared" si="26"/>
        <v>2025</v>
      </c>
    </row>
    <row r="540" spans="1:17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24"/>
        <v>24</v>
      </c>
      <c r="P540">
        <f t="shared" si="25"/>
        <v>5</v>
      </c>
      <c r="Q540">
        <f t="shared" si="26"/>
        <v>2024</v>
      </c>
    </row>
    <row r="541" spans="1:17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24"/>
        <v>18</v>
      </c>
      <c r="P541">
        <f t="shared" si="25"/>
        <v>2</v>
      </c>
      <c r="Q541">
        <f t="shared" si="26"/>
        <v>2025</v>
      </c>
    </row>
    <row r="542" spans="1:17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24"/>
        <v>29</v>
      </c>
      <c r="P542">
        <f t="shared" si="25"/>
        <v>1</v>
      </c>
      <c r="Q542">
        <f t="shared" si="26"/>
        <v>2024</v>
      </c>
    </row>
    <row r="543" spans="1:17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24"/>
        <v>7</v>
      </c>
      <c r="P543">
        <f t="shared" si="25"/>
        <v>8</v>
      </c>
      <c r="Q543">
        <f t="shared" si="26"/>
        <v>2023</v>
      </c>
    </row>
    <row r="544" spans="1:17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24"/>
        <v>14</v>
      </c>
      <c r="P544">
        <f t="shared" si="25"/>
        <v>11</v>
      </c>
      <c r="Q544">
        <f t="shared" si="26"/>
        <v>2023</v>
      </c>
    </row>
    <row r="545" spans="1:17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24"/>
        <v>9</v>
      </c>
      <c r="P545">
        <f t="shared" si="25"/>
        <v>3</v>
      </c>
      <c r="Q545">
        <f t="shared" si="26"/>
        <v>2024</v>
      </c>
    </row>
    <row r="546" spans="1:17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24"/>
        <v>10</v>
      </c>
      <c r="P546">
        <f t="shared" si="25"/>
        <v>3</v>
      </c>
      <c r="Q546">
        <f t="shared" si="26"/>
        <v>2024</v>
      </c>
    </row>
    <row r="547" spans="1:17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24"/>
        <v>19</v>
      </c>
      <c r="P547">
        <f t="shared" si="25"/>
        <v>12</v>
      </c>
      <c r="Q547">
        <f t="shared" si="26"/>
        <v>2023</v>
      </c>
    </row>
    <row r="548" spans="1:17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24"/>
        <v>1</v>
      </c>
      <c r="P548">
        <f t="shared" si="25"/>
        <v>3</v>
      </c>
      <c r="Q548">
        <f t="shared" si="26"/>
        <v>2024</v>
      </c>
    </row>
    <row r="549" spans="1:17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24"/>
        <v>20</v>
      </c>
      <c r="P549">
        <f t="shared" si="25"/>
        <v>8</v>
      </c>
      <c r="Q549">
        <f t="shared" si="26"/>
        <v>2023</v>
      </c>
    </row>
    <row r="550" spans="1:17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24"/>
        <v>5</v>
      </c>
      <c r="P550">
        <f t="shared" si="25"/>
        <v>1</v>
      </c>
      <c r="Q550">
        <f t="shared" si="26"/>
        <v>2024</v>
      </c>
    </row>
    <row r="551" spans="1:17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24"/>
        <v>25</v>
      </c>
      <c r="P551">
        <f t="shared" si="25"/>
        <v>2</v>
      </c>
      <c r="Q551">
        <f t="shared" si="26"/>
        <v>2025</v>
      </c>
    </row>
    <row r="552" spans="1:17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24"/>
        <v>29</v>
      </c>
      <c r="P552">
        <f t="shared" si="25"/>
        <v>10</v>
      </c>
      <c r="Q552">
        <f t="shared" si="26"/>
        <v>2023</v>
      </c>
    </row>
    <row r="553" spans="1:17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24"/>
        <v>18</v>
      </c>
      <c r="P553">
        <f t="shared" si="25"/>
        <v>5</v>
      </c>
      <c r="Q553">
        <f t="shared" si="26"/>
        <v>2023</v>
      </c>
    </row>
    <row r="554" spans="1:17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24"/>
        <v>30</v>
      </c>
      <c r="P554">
        <f t="shared" si="25"/>
        <v>9</v>
      </c>
      <c r="Q554">
        <f t="shared" si="26"/>
        <v>2023</v>
      </c>
    </row>
    <row r="555" spans="1:17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24"/>
        <v>23</v>
      </c>
      <c r="P555">
        <f t="shared" si="25"/>
        <v>8</v>
      </c>
      <c r="Q555">
        <f t="shared" si="26"/>
        <v>2023</v>
      </c>
    </row>
    <row r="556" spans="1:17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24"/>
        <v>30</v>
      </c>
      <c r="P556">
        <f t="shared" si="25"/>
        <v>5</v>
      </c>
      <c r="Q556">
        <f t="shared" si="26"/>
        <v>2025</v>
      </c>
    </row>
    <row r="557" spans="1:17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24"/>
        <v>7</v>
      </c>
      <c r="P557">
        <f t="shared" si="25"/>
        <v>1</v>
      </c>
      <c r="Q557">
        <f t="shared" si="26"/>
        <v>2023</v>
      </c>
    </row>
    <row r="558" spans="1:17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24"/>
        <v>28</v>
      </c>
      <c r="P558">
        <f t="shared" si="25"/>
        <v>1</v>
      </c>
      <c r="Q558">
        <f t="shared" si="26"/>
        <v>2023</v>
      </c>
    </row>
    <row r="559" spans="1:17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24"/>
        <v>29</v>
      </c>
      <c r="P559">
        <f t="shared" si="25"/>
        <v>6</v>
      </c>
      <c r="Q559">
        <f t="shared" si="26"/>
        <v>2023</v>
      </c>
    </row>
    <row r="560" spans="1:17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24"/>
        <v>16</v>
      </c>
      <c r="P560">
        <f t="shared" si="25"/>
        <v>7</v>
      </c>
      <c r="Q560">
        <f t="shared" si="26"/>
        <v>2024</v>
      </c>
    </row>
    <row r="561" spans="1:17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24"/>
        <v>15</v>
      </c>
      <c r="P561">
        <f t="shared" si="25"/>
        <v>4</v>
      </c>
      <c r="Q561">
        <f t="shared" si="26"/>
        <v>2024</v>
      </c>
    </row>
    <row r="562" spans="1:17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24"/>
        <v>31</v>
      </c>
      <c r="P562">
        <f t="shared" si="25"/>
        <v>1</v>
      </c>
      <c r="Q562">
        <f t="shared" si="26"/>
        <v>2023</v>
      </c>
    </row>
    <row r="563" spans="1:17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24"/>
        <v>31</v>
      </c>
      <c r="P563">
        <f t="shared" si="25"/>
        <v>1</v>
      </c>
      <c r="Q563">
        <f t="shared" si="26"/>
        <v>2023</v>
      </c>
    </row>
    <row r="564" spans="1:17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24"/>
        <v>6</v>
      </c>
      <c r="P564">
        <f t="shared" si="25"/>
        <v>10</v>
      </c>
      <c r="Q564">
        <f t="shared" si="26"/>
        <v>2023</v>
      </c>
    </row>
    <row r="565" spans="1:17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24"/>
        <v>12</v>
      </c>
      <c r="P565">
        <f t="shared" si="25"/>
        <v>12</v>
      </c>
      <c r="Q565">
        <f t="shared" si="26"/>
        <v>2023</v>
      </c>
    </row>
    <row r="566" spans="1:17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24"/>
        <v>8</v>
      </c>
      <c r="P566">
        <f t="shared" si="25"/>
        <v>4</v>
      </c>
      <c r="Q566">
        <f t="shared" si="26"/>
        <v>2025</v>
      </c>
    </row>
    <row r="567" spans="1:17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24"/>
        <v>14</v>
      </c>
      <c r="P567">
        <f t="shared" si="25"/>
        <v>5</v>
      </c>
      <c r="Q567">
        <f t="shared" si="26"/>
        <v>2023</v>
      </c>
    </row>
    <row r="568" spans="1:17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24"/>
        <v>18</v>
      </c>
      <c r="P568">
        <f t="shared" si="25"/>
        <v>4</v>
      </c>
      <c r="Q568">
        <f t="shared" si="26"/>
        <v>2024</v>
      </c>
    </row>
    <row r="569" spans="1:17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24"/>
        <v>30</v>
      </c>
      <c r="P569">
        <f t="shared" si="25"/>
        <v>9</v>
      </c>
      <c r="Q569">
        <f t="shared" si="26"/>
        <v>2024</v>
      </c>
    </row>
    <row r="570" spans="1:17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24"/>
        <v>10</v>
      </c>
      <c r="P570">
        <f t="shared" si="25"/>
        <v>3</v>
      </c>
      <c r="Q570">
        <f t="shared" si="26"/>
        <v>2023</v>
      </c>
    </row>
    <row r="571" spans="1:17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24"/>
        <v>22</v>
      </c>
      <c r="P571">
        <f t="shared" si="25"/>
        <v>3</v>
      </c>
      <c r="Q571">
        <f t="shared" si="26"/>
        <v>2025</v>
      </c>
    </row>
    <row r="572" spans="1:17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24"/>
        <v>27</v>
      </c>
      <c r="P572">
        <f t="shared" si="25"/>
        <v>12</v>
      </c>
      <c r="Q572">
        <f t="shared" si="26"/>
        <v>2024</v>
      </c>
    </row>
    <row r="573" spans="1:17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24"/>
        <v>23</v>
      </c>
      <c r="P573">
        <f t="shared" si="25"/>
        <v>11</v>
      </c>
      <c r="Q573">
        <f t="shared" si="26"/>
        <v>2024</v>
      </c>
    </row>
    <row r="574" spans="1:17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24"/>
        <v>11</v>
      </c>
      <c r="P574">
        <f t="shared" si="25"/>
        <v>11</v>
      </c>
      <c r="Q574">
        <f t="shared" si="26"/>
        <v>2023</v>
      </c>
    </row>
    <row r="575" spans="1:17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24"/>
        <v>25</v>
      </c>
      <c r="P575">
        <f t="shared" si="25"/>
        <v>1</v>
      </c>
      <c r="Q575">
        <f t="shared" si="26"/>
        <v>2023</v>
      </c>
    </row>
    <row r="576" spans="1:17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24"/>
        <v>24</v>
      </c>
      <c r="P576">
        <f t="shared" si="25"/>
        <v>1</v>
      </c>
      <c r="Q576">
        <f t="shared" si="26"/>
        <v>2024</v>
      </c>
    </row>
    <row r="577" spans="1:17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24"/>
        <v>7</v>
      </c>
      <c r="P577">
        <f t="shared" si="25"/>
        <v>6</v>
      </c>
      <c r="Q577">
        <f t="shared" si="26"/>
        <v>2023</v>
      </c>
    </row>
    <row r="578" spans="1:17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ref="O578:O641" si="27">DAY(B578)</f>
        <v>29</v>
      </c>
      <c r="P578">
        <f t="shared" ref="P578:P641" si="28">MONTH(B578)</f>
        <v>5</v>
      </c>
      <c r="Q578">
        <f t="shared" ref="Q578:Q641" si="29">YEAR(B578)</f>
        <v>2024</v>
      </c>
    </row>
    <row r="579" spans="1:17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si="27"/>
        <v>22</v>
      </c>
      <c r="P579">
        <f t="shared" si="28"/>
        <v>1</v>
      </c>
      <c r="Q579">
        <f t="shared" si="29"/>
        <v>2023</v>
      </c>
    </row>
    <row r="580" spans="1:17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27"/>
        <v>10</v>
      </c>
      <c r="P580">
        <f t="shared" si="28"/>
        <v>10</v>
      </c>
      <c r="Q580">
        <f t="shared" si="29"/>
        <v>2024</v>
      </c>
    </row>
    <row r="581" spans="1:17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27"/>
        <v>4</v>
      </c>
      <c r="P581">
        <f t="shared" si="28"/>
        <v>6</v>
      </c>
      <c r="Q581">
        <f t="shared" si="29"/>
        <v>2023</v>
      </c>
    </row>
    <row r="582" spans="1:17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27"/>
        <v>14</v>
      </c>
      <c r="P582">
        <f t="shared" si="28"/>
        <v>11</v>
      </c>
      <c r="Q582">
        <f t="shared" si="29"/>
        <v>2023</v>
      </c>
    </row>
    <row r="583" spans="1:17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27"/>
        <v>11</v>
      </c>
      <c r="P583">
        <f t="shared" si="28"/>
        <v>11</v>
      </c>
      <c r="Q583">
        <f t="shared" si="29"/>
        <v>2024</v>
      </c>
    </row>
    <row r="584" spans="1:17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27"/>
        <v>19</v>
      </c>
      <c r="P584">
        <f t="shared" si="28"/>
        <v>2</v>
      </c>
      <c r="Q584">
        <f t="shared" si="29"/>
        <v>2024</v>
      </c>
    </row>
    <row r="585" spans="1:17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27"/>
        <v>15</v>
      </c>
      <c r="P585">
        <f t="shared" si="28"/>
        <v>6</v>
      </c>
      <c r="Q585">
        <f t="shared" si="29"/>
        <v>2025</v>
      </c>
    </row>
    <row r="586" spans="1:17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27"/>
        <v>21</v>
      </c>
      <c r="P586">
        <f t="shared" si="28"/>
        <v>3</v>
      </c>
      <c r="Q586">
        <f t="shared" si="29"/>
        <v>2025</v>
      </c>
    </row>
    <row r="587" spans="1:17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27"/>
        <v>20</v>
      </c>
      <c r="P587">
        <f t="shared" si="28"/>
        <v>8</v>
      </c>
      <c r="Q587">
        <f t="shared" si="29"/>
        <v>2023</v>
      </c>
    </row>
    <row r="588" spans="1:17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27"/>
        <v>10</v>
      </c>
      <c r="P588">
        <f t="shared" si="28"/>
        <v>11</v>
      </c>
      <c r="Q588">
        <f t="shared" si="29"/>
        <v>2024</v>
      </c>
    </row>
    <row r="589" spans="1:17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27"/>
        <v>12</v>
      </c>
      <c r="P589">
        <f t="shared" si="28"/>
        <v>6</v>
      </c>
      <c r="Q589">
        <f t="shared" si="29"/>
        <v>2023</v>
      </c>
    </row>
    <row r="590" spans="1:17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27"/>
        <v>10</v>
      </c>
      <c r="P590">
        <f t="shared" si="28"/>
        <v>12</v>
      </c>
      <c r="Q590">
        <f t="shared" si="29"/>
        <v>2024</v>
      </c>
    </row>
    <row r="591" spans="1:17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27"/>
        <v>10</v>
      </c>
      <c r="P591">
        <f t="shared" si="28"/>
        <v>2</v>
      </c>
      <c r="Q591">
        <f t="shared" si="29"/>
        <v>2025</v>
      </c>
    </row>
    <row r="592" spans="1:17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27"/>
        <v>10</v>
      </c>
      <c r="P592">
        <f t="shared" si="28"/>
        <v>9</v>
      </c>
      <c r="Q592">
        <f t="shared" si="29"/>
        <v>2023</v>
      </c>
    </row>
    <row r="593" spans="1:17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27"/>
        <v>18</v>
      </c>
      <c r="P593">
        <f t="shared" si="28"/>
        <v>11</v>
      </c>
      <c r="Q593">
        <f t="shared" si="29"/>
        <v>2024</v>
      </c>
    </row>
    <row r="594" spans="1:17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612.80999999999995</v>
      </c>
      <c r="O594">
        <f t="shared" si="27"/>
        <v>23</v>
      </c>
      <c r="P594">
        <f t="shared" si="28"/>
        <v>4</v>
      </c>
      <c r="Q594">
        <f t="shared" si="29"/>
        <v>2024</v>
      </c>
    </row>
    <row r="595" spans="1:17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27"/>
        <v>2</v>
      </c>
      <c r="P595">
        <f t="shared" si="28"/>
        <v>8</v>
      </c>
      <c r="Q595">
        <f t="shared" si="29"/>
        <v>2023</v>
      </c>
    </row>
    <row r="596" spans="1:17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27"/>
        <v>21</v>
      </c>
      <c r="P596">
        <f t="shared" si="28"/>
        <v>2</v>
      </c>
      <c r="Q596">
        <f t="shared" si="29"/>
        <v>2024</v>
      </c>
    </row>
    <row r="597" spans="1:17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27"/>
        <v>10</v>
      </c>
      <c r="P597">
        <f t="shared" si="28"/>
        <v>1</v>
      </c>
      <c r="Q597">
        <f t="shared" si="29"/>
        <v>2025</v>
      </c>
    </row>
    <row r="598" spans="1:17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27"/>
        <v>12</v>
      </c>
      <c r="P598">
        <f t="shared" si="28"/>
        <v>6</v>
      </c>
      <c r="Q598">
        <f t="shared" si="29"/>
        <v>2023</v>
      </c>
    </row>
    <row r="599" spans="1:17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27"/>
        <v>25</v>
      </c>
      <c r="P599">
        <f t="shared" si="28"/>
        <v>11</v>
      </c>
      <c r="Q599">
        <f t="shared" si="29"/>
        <v>2024</v>
      </c>
    </row>
    <row r="600" spans="1:17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27"/>
        <v>26</v>
      </c>
      <c r="P600">
        <f t="shared" si="28"/>
        <v>4</v>
      </c>
      <c r="Q600">
        <f t="shared" si="29"/>
        <v>2024</v>
      </c>
    </row>
    <row r="601" spans="1:17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27"/>
        <v>30</v>
      </c>
      <c r="P601">
        <f t="shared" si="28"/>
        <v>6</v>
      </c>
      <c r="Q601">
        <f t="shared" si="29"/>
        <v>2023</v>
      </c>
    </row>
    <row r="602" spans="1:17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27"/>
        <v>26</v>
      </c>
      <c r="P602">
        <f t="shared" si="28"/>
        <v>5</v>
      </c>
      <c r="Q602">
        <f t="shared" si="29"/>
        <v>2023</v>
      </c>
    </row>
    <row r="603" spans="1:17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27"/>
        <v>2</v>
      </c>
      <c r="P603">
        <f t="shared" si="28"/>
        <v>10</v>
      </c>
      <c r="Q603">
        <f t="shared" si="29"/>
        <v>2023</v>
      </c>
    </row>
    <row r="604" spans="1:17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27"/>
        <v>5</v>
      </c>
      <c r="P604">
        <f t="shared" si="28"/>
        <v>3</v>
      </c>
      <c r="Q604">
        <f t="shared" si="29"/>
        <v>2024</v>
      </c>
    </row>
    <row r="605" spans="1:17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27"/>
        <v>4</v>
      </c>
      <c r="P605">
        <f t="shared" si="28"/>
        <v>10</v>
      </c>
      <c r="Q605">
        <f t="shared" si="29"/>
        <v>2024</v>
      </c>
    </row>
    <row r="606" spans="1:17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97.86</v>
      </c>
      <c r="O606">
        <f t="shared" si="27"/>
        <v>22</v>
      </c>
      <c r="P606">
        <f t="shared" si="28"/>
        <v>6</v>
      </c>
      <c r="Q606">
        <f t="shared" si="29"/>
        <v>2025</v>
      </c>
    </row>
    <row r="607" spans="1:17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27"/>
        <v>10</v>
      </c>
      <c r="P607">
        <f t="shared" si="28"/>
        <v>5</v>
      </c>
      <c r="Q607">
        <f t="shared" si="29"/>
        <v>2024</v>
      </c>
    </row>
    <row r="608" spans="1:17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27"/>
        <v>6</v>
      </c>
      <c r="P608">
        <f t="shared" si="28"/>
        <v>11</v>
      </c>
      <c r="Q608">
        <f t="shared" si="29"/>
        <v>2024</v>
      </c>
    </row>
    <row r="609" spans="1:17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27"/>
        <v>31</v>
      </c>
      <c r="P609">
        <f t="shared" si="28"/>
        <v>5</v>
      </c>
      <c r="Q609">
        <f t="shared" si="29"/>
        <v>2025</v>
      </c>
    </row>
    <row r="610" spans="1:17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27"/>
        <v>24</v>
      </c>
      <c r="P610">
        <f t="shared" si="28"/>
        <v>7</v>
      </c>
      <c r="Q610">
        <f t="shared" si="29"/>
        <v>2024</v>
      </c>
    </row>
    <row r="611" spans="1:17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27"/>
        <v>27</v>
      </c>
      <c r="P611">
        <f t="shared" si="28"/>
        <v>1</v>
      </c>
      <c r="Q611">
        <f t="shared" si="29"/>
        <v>2025</v>
      </c>
    </row>
    <row r="612" spans="1:17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27"/>
        <v>16</v>
      </c>
      <c r="P612">
        <f t="shared" si="28"/>
        <v>6</v>
      </c>
      <c r="Q612">
        <f t="shared" si="29"/>
        <v>2024</v>
      </c>
    </row>
    <row r="613" spans="1:17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27"/>
        <v>21</v>
      </c>
      <c r="P613">
        <f t="shared" si="28"/>
        <v>4</v>
      </c>
      <c r="Q613">
        <f t="shared" si="29"/>
        <v>2023</v>
      </c>
    </row>
    <row r="614" spans="1:17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27"/>
        <v>2</v>
      </c>
      <c r="P614">
        <f t="shared" si="28"/>
        <v>6</v>
      </c>
      <c r="Q614">
        <f t="shared" si="29"/>
        <v>2023</v>
      </c>
    </row>
    <row r="615" spans="1:17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27"/>
        <v>19</v>
      </c>
      <c r="P615">
        <f t="shared" si="28"/>
        <v>12</v>
      </c>
      <c r="Q615">
        <f t="shared" si="29"/>
        <v>2024</v>
      </c>
    </row>
    <row r="616" spans="1:17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27"/>
        <v>8</v>
      </c>
      <c r="P616">
        <f t="shared" si="28"/>
        <v>3</v>
      </c>
      <c r="Q616">
        <f t="shared" si="29"/>
        <v>2024</v>
      </c>
    </row>
    <row r="617" spans="1:17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27"/>
        <v>7</v>
      </c>
      <c r="P617">
        <f t="shared" si="28"/>
        <v>3</v>
      </c>
      <c r="Q617">
        <f t="shared" si="29"/>
        <v>2025</v>
      </c>
    </row>
    <row r="618" spans="1:17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27"/>
        <v>17</v>
      </c>
      <c r="P618">
        <f t="shared" si="28"/>
        <v>10</v>
      </c>
      <c r="Q618">
        <f t="shared" si="29"/>
        <v>2024</v>
      </c>
    </row>
    <row r="619" spans="1:17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27"/>
        <v>8</v>
      </c>
      <c r="P619">
        <f t="shared" si="28"/>
        <v>2</v>
      </c>
      <c r="Q619">
        <f t="shared" si="29"/>
        <v>2024</v>
      </c>
    </row>
    <row r="620" spans="1:17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27"/>
        <v>3</v>
      </c>
      <c r="P620">
        <f t="shared" si="28"/>
        <v>9</v>
      </c>
      <c r="Q620">
        <f t="shared" si="29"/>
        <v>2024</v>
      </c>
    </row>
    <row r="621" spans="1:17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27"/>
        <v>16</v>
      </c>
      <c r="P621">
        <f t="shared" si="28"/>
        <v>7</v>
      </c>
      <c r="Q621">
        <f t="shared" si="29"/>
        <v>2024</v>
      </c>
    </row>
    <row r="622" spans="1:17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27"/>
        <v>27</v>
      </c>
      <c r="P622">
        <f t="shared" si="28"/>
        <v>3</v>
      </c>
      <c r="Q622">
        <f t="shared" si="29"/>
        <v>2024</v>
      </c>
    </row>
    <row r="623" spans="1:17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27"/>
        <v>22</v>
      </c>
      <c r="P623">
        <f t="shared" si="28"/>
        <v>10</v>
      </c>
      <c r="Q623">
        <f t="shared" si="29"/>
        <v>2023</v>
      </c>
    </row>
    <row r="624" spans="1:17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27"/>
        <v>2</v>
      </c>
      <c r="P624">
        <f t="shared" si="28"/>
        <v>11</v>
      </c>
      <c r="Q624">
        <f t="shared" si="29"/>
        <v>2024</v>
      </c>
    </row>
    <row r="625" spans="1:17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27"/>
        <v>16</v>
      </c>
      <c r="P625">
        <f t="shared" si="28"/>
        <v>6</v>
      </c>
      <c r="Q625">
        <f t="shared" si="29"/>
        <v>2023</v>
      </c>
    </row>
    <row r="626" spans="1:17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27"/>
        <v>16</v>
      </c>
      <c r="P626">
        <f t="shared" si="28"/>
        <v>1</v>
      </c>
      <c r="Q626">
        <f t="shared" si="29"/>
        <v>2024</v>
      </c>
    </row>
    <row r="627" spans="1:17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27"/>
        <v>24</v>
      </c>
      <c r="P627">
        <f t="shared" si="28"/>
        <v>9</v>
      </c>
      <c r="Q627">
        <f t="shared" si="29"/>
        <v>2023</v>
      </c>
    </row>
    <row r="628" spans="1:17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27"/>
        <v>1</v>
      </c>
      <c r="P628">
        <f t="shared" si="28"/>
        <v>3</v>
      </c>
      <c r="Q628">
        <f t="shared" si="29"/>
        <v>2024</v>
      </c>
    </row>
    <row r="629" spans="1:17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27"/>
        <v>6</v>
      </c>
      <c r="P629">
        <f t="shared" si="28"/>
        <v>8</v>
      </c>
      <c r="Q629">
        <f t="shared" si="29"/>
        <v>2023</v>
      </c>
    </row>
    <row r="630" spans="1:17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27"/>
        <v>26</v>
      </c>
      <c r="P630">
        <f t="shared" si="28"/>
        <v>3</v>
      </c>
      <c r="Q630">
        <f t="shared" si="29"/>
        <v>2023</v>
      </c>
    </row>
    <row r="631" spans="1:17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27"/>
        <v>7</v>
      </c>
      <c r="P631">
        <f t="shared" si="28"/>
        <v>7</v>
      </c>
      <c r="Q631">
        <f t="shared" si="29"/>
        <v>2023</v>
      </c>
    </row>
    <row r="632" spans="1:17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27"/>
        <v>23</v>
      </c>
      <c r="P632">
        <f t="shared" si="28"/>
        <v>6</v>
      </c>
      <c r="Q632">
        <f t="shared" si="29"/>
        <v>2023</v>
      </c>
    </row>
    <row r="633" spans="1:17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27"/>
        <v>31</v>
      </c>
      <c r="P633">
        <f t="shared" si="28"/>
        <v>8</v>
      </c>
      <c r="Q633">
        <f t="shared" si="29"/>
        <v>2024</v>
      </c>
    </row>
    <row r="634" spans="1:17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27"/>
        <v>2</v>
      </c>
      <c r="P634">
        <f t="shared" si="28"/>
        <v>5</v>
      </c>
      <c r="Q634">
        <f t="shared" si="29"/>
        <v>2023</v>
      </c>
    </row>
    <row r="635" spans="1:17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27"/>
        <v>10</v>
      </c>
      <c r="P635">
        <f t="shared" si="28"/>
        <v>4</v>
      </c>
      <c r="Q635">
        <f t="shared" si="29"/>
        <v>2024</v>
      </c>
    </row>
    <row r="636" spans="1:17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27"/>
        <v>25</v>
      </c>
      <c r="P636">
        <f t="shared" si="28"/>
        <v>4</v>
      </c>
      <c r="Q636">
        <f t="shared" si="29"/>
        <v>2024</v>
      </c>
    </row>
    <row r="637" spans="1:17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27"/>
        <v>13</v>
      </c>
      <c r="P637">
        <f t="shared" si="28"/>
        <v>12</v>
      </c>
      <c r="Q637">
        <f t="shared" si="29"/>
        <v>2023</v>
      </c>
    </row>
    <row r="638" spans="1:17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27"/>
        <v>5</v>
      </c>
      <c r="P638">
        <f t="shared" si="28"/>
        <v>10</v>
      </c>
      <c r="Q638">
        <f t="shared" si="29"/>
        <v>2023</v>
      </c>
    </row>
    <row r="639" spans="1:17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27"/>
        <v>29</v>
      </c>
      <c r="P639">
        <f t="shared" si="28"/>
        <v>9</v>
      </c>
      <c r="Q639">
        <f t="shared" si="29"/>
        <v>2024</v>
      </c>
    </row>
    <row r="640" spans="1:17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27"/>
        <v>15</v>
      </c>
      <c r="P640">
        <f t="shared" si="28"/>
        <v>10</v>
      </c>
      <c r="Q640">
        <f t="shared" si="29"/>
        <v>2023</v>
      </c>
    </row>
    <row r="641" spans="1:17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27"/>
        <v>20</v>
      </c>
      <c r="P641">
        <f t="shared" si="28"/>
        <v>1</v>
      </c>
      <c r="Q641">
        <f t="shared" si="29"/>
        <v>2023</v>
      </c>
    </row>
    <row r="642" spans="1:17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ref="O642:O705" si="30">DAY(B642)</f>
        <v>27</v>
      </c>
      <c r="P642">
        <f t="shared" ref="P642:P705" si="31">MONTH(B642)</f>
        <v>2</v>
      </c>
      <c r="Q642">
        <f t="shared" ref="Q642:Q705" si="32">YEAR(B642)</f>
        <v>2024</v>
      </c>
    </row>
    <row r="643" spans="1:17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si="30"/>
        <v>30</v>
      </c>
      <c r="P643">
        <f t="shared" si="31"/>
        <v>6</v>
      </c>
      <c r="Q643">
        <f t="shared" si="32"/>
        <v>2024</v>
      </c>
    </row>
    <row r="644" spans="1:17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30"/>
        <v>29</v>
      </c>
      <c r="P644">
        <f t="shared" si="31"/>
        <v>4</v>
      </c>
      <c r="Q644">
        <f t="shared" si="32"/>
        <v>2024</v>
      </c>
    </row>
    <row r="645" spans="1:17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30"/>
        <v>26</v>
      </c>
      <c r="P645">
        <f t="shared" si="31"/>
        <v>8</v>
      </c>
      <c r="Q645">
        <f t="shared" si="32"/>
        <v>2024</v>
      </c>
    </row>
    <row r="646" spans="1:17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30"/>
        <v>15</v>
      </c>
      <c r="P646">
        <f t="shared" si="31"/>
        <v>11</v>
      </c>
      <c r="Q646">
        <f t="shared" si="32"/>
        <v>2023</v>
      </c>
    </row>
    <row r="647" spans="1:17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30"/>
        <v>2</v>
      </c>
      <c r="P647">
        <f t="shared" si="31"/>
        <v>1</v>
      </c>
      <c r="Q647">
        <f t="shared" si="32"/>
        <v>2023</v>
      </c>
    </row>
    <row r="648" spans="1:17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30"/>
        <v>27</v>
      </c>
      <c r="P648">
        <f t="shared" si="31"/>
        <v>10</v>
      </c>
      <c r="Q648">
        <f t="shared" si="32"/>
        <v>2023</v>
      </c>
    </row>
    <row r="649" spans="1:17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30"/>
        <v>24</v>
      </c>
      <c r="P649">
        <f t="shared" si="31"/>
        <v>4</v>
      </c>
      <c r="Q649">
        <f t="shared" si="32"/>
        <v>2025</v>
      </c>
    </row>
    <row r="650" spans="1:17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30"/>
        <v>18</v>
      </c>
      <c r="P650">
        <f t="shared" si="31"/>
        <v>1</v>
      </c>
      <c r="Q650">
        <f t="shared" si="32"/>
        <v>2025</v>
      </c>
    </row>
    <row r="651" spans="1:17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30"/>
        <v>23</v>
      </c>
      <c r="P651">
        <f t="shared" si="31"/>
        <v>12</v>
      </c>
      <c r="Q651">
        <f t="shared" si="32"/>
        <v>2023</v>
      </c>
    </row>
    <row r="652" spans="1:17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30"/>
        <v>18</v>
      </c>
      <c r="P652">
        <f t="shared" si="31"/>
        <v>5</v>
      </c>
      <c r="Q652">
        <f t="shared" si="32"/>
        <v>2023</v>
      </c>
    </row>
    <row r="653" spans="1:17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30"/>
        <v>12</v>
      </c>
      <c r="P653">
        <f t="shared" si="31"/>
        <v>11</v>
      </c>
      <c r="Q653">
        <f t="shared" si="32"/>
        <v>2024</v>
      </c>
    </row>
    <row r="654" spans="1:17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30"/>
        <v>5</v>
      </c>
      <c r="P654">
        <f t="shared" si="31"/>
        <v>6</v>
      </c>
      <c r="Q654">
        <f t="shared" si="32"/>
        <v>2024</v>
      </c>
    </row>
    <row r="655" spans="1:17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30"/>
        <v>25</v>
      </c>
      <c r="P655">
        <f t="shared" si="31"/>
        <v>2</v>
      </c>
      <c r="Q655">
        <f t="shared" si="32"/>
        <v>2024</v>
      </c>
    </row>
    <row r="656" spans="1:17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30"/>
        <v>12</v>
      </c>
      <c r="P656">
        <f t="shared" si="31"/>
        <v>6</v>
      </c>
      <c r="Q656">
        <f t="shared" si="32"/>
        <v>2023</v>
      </c>
    </row>
    <row r="657" spans="1:17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30"/>
        <v>14</v>
      </c>
      <c r="P657">
        <f t="shared" si="31"/>
        <v>3</v>
      </c>
      <c r="Q657">
        <f t="shared" si="32"/>
        <v>2023</v>
      </c>
    </row>
    <row r="658" spans="1:17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30"/>
        <v>18</v>
      </c>
      <c r="P658">
        <f t="shared" si="31"/>
        <v>1</v>
      </c>
      <c r="Q658">
        <f t="shared" si="32"/>
        <v>2024</v>
      </c>
    </row>
    <row r="659" spans="1:17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30"/>
        <v>24</v>
      </c>
      <c r="P659">
        <f t="shared" si="31"/>
        <v>12</v>
      </c>
      <c r="Q659">
        <f t="shared" si="32"/>
        <v>2023</v>
      </c>
    </row>
    <row r="660" spans="1:17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30"/>
        <v>18</v>
      </c>
      <c r="P660">
        <f t="shared" si="31"/>
        <v>4</v>
      </c>
      <c r="Q660">
        <f t="shared" si="32"/>
        <v>2025</v>
      </c>
    </row>
    <row r="661" spans="1:17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30"/>
        <v>26</v>
      </c>
      <c r="P661">
        <f t="shared" si="31"/>
        <v>10</v>
      </c>
      <c r="Q661">
        <f t="shared" si="32"/>
        <v>2024</v>
      </c>
    </row>
    <row r="662" spans="1:17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30"/>
        <v>19</v>
      </c>
      <c r="P662">
        <f t="shared" si="31"/>
        <v>10</v>
      </c>
      <c r="Q662">
        <f t="shared" si="32"/>
        <v>2024</v>
      </c>
    </row>
    <row r="663" spans="1:17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30"/>
        <v>28</v>
      </c>
      <c r="P663">
        <f t="shared" si="31"/>
        <v>2</v>
      </c>
      <c r="Q663">
        <f t="shared" si="32"/>
        <v>2025</v>
      </c>
    </row>
    <row r="664" spans="1:17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30"/>
        <v>28</v>
      </c>
      <c r="P664">
        <f t="shared" si="31"/>
        <v>1</v>
      </c>
      <c r="Q664">
        <f t="shared" si="32"/>
        <v>2023</v>
      </c>
    </row>
    <row r="665" spans="1:17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30"/>
        <v>15</v>
      </c>
      <c r="P665">
        <f t="shared" si="31"/>
        <v>4</v>
      </c>
      <c r="Q665">
        <f t="shared" si="32"/>
        <v>2024</v>
      </c>
    </row>
    <row r="666" spans="1:17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30"/>
        <v>19</v>
      </c>
      <c r="P666">
        <f t="shared" si="31"/>
        <v>12</v>
      </c>
      <c r="Q666">
        <f t="shared" si="32"/>
        <v>2024</v>
      </c>
    </row>
    <row r="667" spans="1:17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30"/>
        <v>2</v>
      </c>
      <c r="P667">
        <f t="shared" si="31"/>
        <v>5</v>
      </c>
      <c r="Q667">
        <f t="shared" si="32"/>
        <v>2023</v>
      </c>
    </row>
    <row r="668" spans="1:17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30"/>
        <v>31</v>
      </c>
      <c r="P668">
        <f t="shared" si="31"/>
        <v>8</v>
      </c>
      <c r="Q668">
        <f t="shared" si="32"/>
        <v>2024</v>
      </c>
    </row>
    <row r="669" spans="1:17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30"/>
        <v>3</v>
      </c>
      <c r="P669">
        <f t="shared" si="31"/>
        <v>5</v>
      </c>
      <c r="Q669">
        <f t="shared" si="32"/>
        <v>2023</v>
      </c>
    </row>
    <row r="670" spans="1:17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30"/>
        <v>5</v>
      </c>
      <c r="P670">
        <f t="shared" si="31"/>
        <v>7</v>
      </c>
      <c r="Q670">
        <f t="shared" si="32"/>
        <v>2024</v>
      </c>
    </row>
    <row r="671" spans="1:17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30"/>
        <v>5</v>
      </c>
      <c r="P671">
        <f t="shared" si="31"/>
        <v>2</v>
      </c>
      <c r="Q671">
        <f t="shared" si="32"/>
        <v>2023</v>
      </c>
    </row>
    <row r="672" spans="1:17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30"/>
        <v>18</v>
      </c>
      <c r="P672">
        <f t="shared" si="31"/>
        <v>4</v>
      </c>
      <c r="Q672">
        <f t="shared" si="32"/>
        <v>2024</v>
      </c>
    </row>
    <row r="673" spans="1:17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30"/>
        <v>15</v>
      </c>
      <c r="P673">
        <f t="shared" si="31"/>
        <v>6</v>
      </c>
      <c r="Q673">
        <f t="shared" si="32"/>
        <v>2023</v>
      </c>
    </row>
    <row r="674" spans="1:17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30"/>
        <v>9</v>
      </c>
      <c r="P674">
        <f t="shared" si="31"/>
        <v>5</v>
      </c>
      <c r="Q674">
        <f t="shared" si="32"/>
        <v>2023</v>
      </c>
    </row>
    <row r="675" spans="1:17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30"/>
        <v>21</v>
      </c>
      <c r="P675">
        <f t="shared" si="31"/>
        <v>2</v>
      </c>
      <c r="Q675">
        <f t="shared" si="32"/>
        <v>2023</v>
      </c>
    </row>
    <row r="676" spans="1:17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30"/>
        <v>9</v>
      </c>
      <c r="P676">
        <f t="shared" si="31"/>
        <v>1</v>
      </c>
      <c r="Q676">
        <f t="shared" si="32"/>
        <v>2024</v>
      </c>
    </row>
    <row r="677" spans="1:17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30"/>
        <v>6</v>
      </c>
      <c r="P677">
        <f t="shared" si="31"/>
        <v>8</v>
      </c>
      <c r="Q677">
        <f t="shared" si="32"/>
        <v>2024</v>
      </c>
    </row>
    <row r="678" spans="1:17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30"/>
        <v>23</v>
      </c>
      <c r="P678">
        <f t="shared" si="31"/>
        <v>6</v>
      </c>
      <c r="Q678">
        <f t="shared" si="32"/>
        <v>2025</v>
      </c>
    </row>
    <row r="679" spans="1:17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30"/>
        <v>3</v>
      </c>
      <c r="P679">
        <f t="shared" si="31"/>
        <v>4</v>
      </c>
      <c r="Q679">
        <f t="shared" si="32"/>
        <v>2025</v>
      </c>
    </row>
    <row r="680" spans="1:17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30"/>
        <v>24</v>
      </c>
      <c r="P680">
        <f t="shared" si="31"/>
        <v>11</v>
      </c>
      <c r="Q680">
        <f t="shared" si="32"/>
        <v>2024</v>
      </c>
    </row>
    <row r="681" spans="1:17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30"/>
        <v>2</v>
      </c>
      <c r="P681">
        <f t="shared" si="31"/>
        <v>2</v>
      </c>
      <c r="Q681">
        <f t="shared" si="32"/>
        <v>2023</v>
      </c>
    </row>
    <row r="682" spans="1:17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30"/>
        <v>27</v>
      </c>
      <c r="P682">
        <f t="shared" si="31"/>
        <v>8</v>
      </c>
      <c r="Q682">
        <f t="shared" si="32"/>
        <v>2023</v>
      </c>
    </row>
    <row r="683" spans="1:17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30"/>
        <v>30</v>
      </c>
      <c r="P683">
        <f t="shared" si="31"/>
        <v>1</v>
      </c>
      <c r="Q683">
        <f t="shared" si="32"/>
        <v>2024</v>
      </c>
    </row>
    <row r="684" spans="1:17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30"/>
        <v>23</v>
      </c>
      <c r="P684">
        <f t="shared" si="31"/>
        <v>7</v>
      </c>
      <c r="Q684">
        <f t="shared" si="32"/>
        <v>2023</v>
      </c>
    </row>
    <row r="685" spans="1:17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30"/>
        <v>18</v>
      </c>
      <c r="P685">
        <f t="shared" si="31"/>
        <v>5</v>
      </c>
      <c r="Q685">
        <f t="shared" si="32"/>
        <v>2025</v>
      </c>
    </row>
    <row r="686" spans="1:17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30"/>
        <v>22</v>
      </c>
      <c r="P686">
        <f t="shared" si="31"/>
        <v>9</v>
      </c>
      <c r="Q686">
        <f t="shared" si="32"/>
        <v>2024</v>
      </c>
    </row>
    <row r="687" spans="1:17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30"/>
        <v>7</v>
      </c>
      <c r="P687">
        <f t="shared" si="31"/>
        <v>2</v>
      </c>
      <c r="Q687">
        <f t="shared" si="32"/>
        <v>2025</v>
      </c>
    </row>
    <row r="688" spans="1:17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30"/>
        <v>9</v>
      </c>
      <c r="P688">
        <f t="shared" si="31"/>
        <v>10</v>
      </c>
      <c r="Q688">
        <f t="shared" si="32"/>
        <v>2023</v>
      </c>
    </row>
    <row r="689" spans="1:17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30"/>
        <v>13</v>
      </c>
      <c r="P689">
        <f t="shared" si="31"/>
        <v>9</v>
      </c>
      <c r="Q689">
        <f t="shared" si="32"/>
        <v>2023</v>
      </c>
    </row>
    <row r="690" spans="1:17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30"/>
        <v>6</v>
      </c>
      <c r="P690">
        <f t="shared" si="31"/>
        <v>3</v>
      </c>
      <c r="Q690">
        <f t="shared" si="32"/>
        <v>2024</v>
      </c>
    </row>
    <row r="691" spans="1:17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30"/>
        <v>29</v>
      </c>
      <c r="P691">
        <f t="shared" si="31"/>
        <v>8</v>
      </c>
      <c r="Q691">
        <f t="shared" si="32"/>
        <v>2023</v>
      </c>
    </row>
    <row r="692" spans="1:17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30"/>
        <v>12</v>
      </c>
      <c r="P692">
        <f t="shared" si="31"/>
        <v>7</v>
      </c>
      <c r="Q692">
        <f t="shared" si="32"/>
        <v>2024</v>
      </c>
    </row>
    <row r="693" spans="1:17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30"/>
        <v>24</v>
      </c>
      <c r="P693">
        <f t="shared" si="31"/>
        <v>11</v>
      </c>
      <c r="Q693">
        <f t="shared" si="32"/>
        <v>2024</v>
      </c>
    </row>
    <row r="694" spans="1:17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30"/>
        <v>23</v>
      </c>
      <c r="P694">
        <f t="shared" si="31"/>
        <v>1</v>
      </c>
      <c r="Q694">
        <f t="shared" si="32"/>
        <v>2023</v>
      </c>
    </row>
    <row r="695" spans="1:17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30"/>
        <v>12</v>
      </c>
      <c r="P695">
        <f t="shared" si="31"/>
        <v>3</v>
      </c>
      <c r="Q695">
        <f t="shared" si="32"/>
        <v>2025</v>
      </c>
    </row>
    <row r="696" spans="1:17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30"/>
        <v>2</v>
      </c>
      <c r="P696">
        <f t="shared" si="31"/>
        <v>10</v>
      </c>
      <c r="Q696">
        <f t="shared" si="32"/>
        <v>2023</v>
      </c>
    </row>
    <row r="697" spans="1:17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30"/>
        <v>23</v>
      </c>
      <c r="P697">
        <f t="shared" si="31"/>
        <v>11</v>
      </c>
      <c r="Q697">
        <f t="shared" si="32"/>
        <v>2024</v>
      </c>
    </row>
    <row r="698" spans="1:17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30"/>
        <v>2</v>
      </c>
      <c r="P698">
        <f t="shared" si="31"/>
        <v>7</v>
      </c>
      <c r="Q698">
        <f t="shared" si="32"/>
        <v>2023</v>
      </c>
    </row>
    <row r="699" spans="1:17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30"/>
        <v>4</v>
      </c>
      <c r="P699">
        <f t="shared" si="31"/>
        <v>2</v>
      </c>
      <c r="Q699">
        <f t="shared" si="32"/>
        <v>2025</v>
      </c>
    </row>
    <row r="700" spans="1:17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30"/>
        <v>4</v>
      </c>
      <c r="P700">
        <f t="shared" si="31"/>
        <v>1</v>
      </c>
      <c r="Q700">
        <f t="shared" si="32"/>
        <v>2023</v>
      </c>
    </row>
    <row r="701" spans="1:17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30"/>
        <v>13</v>
      </c>
      <c r="P701">
        <f t="shared" si="31"/>
        <v>11</v>
      </c>
      <c r="Q701">
        <f t="shared" si="32"/>
        <v>2023</v>
      </c>
    </row>
    <row r="702" spans="1:17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30"/>
        <v>25</v>
      </c>
      <c r="P702">
        <f t="shared" si="31"/>
        <v>9</v>
      </c>
      <c r="Q702">
        <f t="shared" si="32"/>
        <v>2024</v>
      </c>
    </row>
    <row r="703" spans="1:17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30"/>
        <v>23</v>
      </c>
      <c r="P703">
        <f t="shared" si="31"/>
        <v>6</v>
      </c>
      <c r="Q703">
        <f t="shared" si="32"/>
        <v>2024</v>
      </c>
    </row>
    <row r="704" spans="1:17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30"/>
        <v>9</v>
      </c>
      <c r="P704">
        <f t="shared" si="31"/>
        <v>6</v>
      </c>
      <c r="Q704">
        <f t="shared" si="32"/>
        <v>2024</v>
      </c>
    </row>
    <row r="705" spans="1:17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30"/>
        <v>22</v>
      </c>
      <c r="P705">
        <f t="shared" si="31"/>
        <v>3</v>
      </c>
      <c r="Q705">
        <f t="shared" si="32"/>
        <v>2023</v>
      </c>
    </row>
    <row r="706" spans="1:17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ref="O706:O769" si="33">DAY(B706)</f>
        <v>3</v>
      </c>
      <c r="P706">
        <f t="shared" ref="P706:P769" si="34">MONTH(B706)</f>
        <v>6</v>
      </c>
      <c r="Q706">
        <f t="shared" ref="Q706:Q769" si="35">YEAR(B706)</f>
        <v>2023</v>
      </c>
    </row>
    <row r="707" spans="1:17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si="33"/>
        <v>30</v>
      </c>
      <c r="P707">
        <f t="shared" si="34"/>
        <v>3</v>
      </c>
      <c r="Q707">
        <f t="shared" si="35"/>
        <v>2025</v>
      </c>
    </row>
    <row r="708" spans="1:17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33"/>
        <v>2</v>
      </c>
      <c r="P708">
        <f t="shared" si="34"/>
        <v>3</v>
      </c>
      <c r="Q708">
        <f t="shared" si="35"/>
        <v>2025</v>
      </c>
    </row>
    <row r="709" spans="1:17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33"/>
        <v>1</v>
      </c>
      <c r="P709">
        <f t="shared" si="34"/>
        <v>11</v>
      </c>
      <c r="Q709">
        <f t="shared" si="35"/>
        <v>2024</v>
      </c>
    </row>
    <row r="710" spans="1:17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33"/>
        <v>4</v>
      </c>
      <c r="P710">
        <f t="shared" si="34"/>
        <v>3</v>
      </c>
      <c r="Q710">
        <f t="shared" si="35"/>
        <v>2025</v>
      </c>
    </row>
    <row r="711" spans="1:17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33"/>
        <v>7</v>
      </c>
      <c r="P711">
        <f t="shared" si="34"/>
        <v>12</v>
      </c>
      <c r="Q711">
        <f t="shared" si="35"/>
        <v>2024</v>
      </c>
    </row>
    <row r="712" spans="1:17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33"/>
        <v>22</v>
      </c>
      <c r="P712">
        <f t="shared" si="34"/>
        <v>7</v>
      </c>
      <c r="Q712">
        <f t="shared" si="35"/>
        <v>2024</v>
      </c>
    </row>
    <row r="713" spans="1:17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33"/>
        <v>4</v>
      </c>
      <c r="P713">
        <f t="shared" si="34"/>
        <v>7</v>
      </c>
      <c r="Q713">
        <f t="shared" si="35"/>
        <v>2024</v>
      </c>
    </row>
    <row r="714" spans="1:17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33"/>
        <v>9</v>
      </c>
      <c r="P714">
        <f t="shared" si="34"/>
        <v>1</v>
      </c>
      <c r="Q714">
        <f t="shared" si="35"/>
        <v>2024</v>
      </c>
    </row>
    <row r="715" spans="1:17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33"/>
        <v>21</v>
      </c>
      <c r="P715">
        <f t="shared" si="34"/>
        <v>6</v>
      </c>
      <c r="Q715">
        <f t="shared" si="35"/>
        <v>2025</v>
      </c>
    </row>
    <row r="716" spans="1:17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33"/>
        <v>21</v>
      </c>
      <c r="P716">
        <f t="shared" si="34"/>
        <v>4</v>
      </c>
      <c r="Q716">
        <f t="shared" si="35"/>
        <v>2023</v>
      </c>
    </row>
    <row r="717" spans="1:17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33"/>
        <v>26</v>
      </c>
      <c r="P717">
        <f t="shared" si="34"/>
        <v>7</v>
      </c>
      <c r="Q717">
        <f t="shared" si="35"/>
        <v>2024</v>
      </c>
    </row>
    <row r="718" spans="1:17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33"/>
        <v>13</v>
      </c>
      <c r="P718">
        <f t="shared" si="34"/>
        <v>6</v>
      </c>
      <c r="Q718">
        <f t="shared" si="35"/>
        <v>2024</v>
      </c>
    </row>
    <row r="719" spans="1:17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33"/>
        <v>16</v>
      </c>
      <c r="P719">
        <f t="shared" si="34"/>
        <v>10</v>
      </c>
      <c r="Q719">
        <f t="shared" si="35"/>
        <v>2023</v>
      </c>
    </row>
    <row r="720" spans="1:17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33"/>
        <v>8</v>
      </c>
      <c r="P720">
        <f t="shared" si="34"/>
        <v>4</v>
      </c>
      <c r="Q720">
        <f t="shared" si="35"/>
        <v>2023</v>
      </c>
    </row>
    <row r="721" spans="1:17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33"/>
        <v>21</v>
      </c>
      <c r="P721">
        <f t="shared" si="34"/>
        <v>1</v>
      </c>
      <c r="Q721">
        <f t="shared" si="35"/>
        <v>2024</v>
      </c>
    </row>
    <row r="722" spans="1:17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33"/>
        <v>21</v>
      </c>
      <c r="P722">
        <f t="shared" si="34"/>
        <v>9</v>
      </c>
      <c r="Q722">
        <f t="shared" si="35"/>
        <v>2023</v>
      </c>
    </row>
    <row r="723" spans="1:17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33"/>
        <v>18</v>
      </c>
      <c r="P723">
        <f t="shared" si="34"/>
        <v>3</v>
      </c>
      <c r="Q723">
        <f t="shared" si="35"/>
        <v>2024</v>
      </c>
    </row>
    <row r="724" spans="1:17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33"/>
        <v>15</v>
      </c>
      <c r="P724">
        <f t="shared" si="34"/>
        <v>11</v>
      </c>
      <c r="Q724">
        <f t="shared" si="35"/>
        <v>2024</v>
      </c>
    </row>
    <row r="725" spans="1:17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33"/>
        <v>9</v>
      </c>
      <c r="P725">
        <f t="shared" si="34"/>
        <v>12</v>
      </c>
      <c r="Q725">
        <f t="shared" si="35"/>
        <v>2023</v>
      </c>
    </row>
    <row r="726" spans="1:17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33"/>
        <v>18</v>
      </c>
      <c r="P726">
        <f t="shared" si="34"/>
        <v>10</v>
      </c>
      <c r="Q726">
        <f t="shared" si="35"/>
        <v>2024</v>
      </c>
    </row>
    <row r="727" spans="1:17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33"/>
        <v>12</v>
      </c>
      <c r="P727">
        <f t="shared" si="34"/>
        <v>3</v>
      </c>
      <c r="Q727">
        <f t="shared" si="35"/>
        <v>2023</v>
      </c>
    </row>
    <row r="728" spans="1:17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33"/>
        <v>25</v>
      </c>
      <c r="P728">
        <f t="shared" si="34"/>
        <v>10</v>
      </c>
      <c r="Q728">
        <f t="shared" si="35"/>
        <v>2024</v>
      </c>
    </row>
    <row r="729" spans="1:17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33"/>
        <v>29</v>
      </c>
      <c r="P729">
        <f t="shared" si="34"/>
        <v>9</v>
      </c>
      <c r="Q729">
        <f t="shared" si="35"/>
        <v>2024</v>
      </c>
    </row>
    <row r="730" spans="1:17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33"/>
        <v>29</v>
      </c>
      <c r="P730">
        <f t="shared" si="34"/>
        <v>7</v>
      </c>
      <c r="Q730">
        <f t="shared" si="35"/>
        <v>2024</v>
      </c>
    </row>
    <row r="731" spans="1:17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33"/>
        <v>8</v>
      </c>
      <c r="P731">
        <f t="shared" si="34"/>
        <v>9</v>
      </c>
      <c r="Q731">
        <f t="shared" si="35"/>
        <v>2023</v>
      </c>
    </row>
    <row r="732" spans="1:17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33"/>
        <v>22</v>
      </c>
      <c r="P732">
        <f t="shared" si="34"/>
        <v>2</v>
      </c>
      <c r="Q732">
        <f t="shared" si="35"/>
        <v>2025</v>
      </c>
    </row>
    <row r="733" spans="1:17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33"/>
        <v>7</v>
      </c>
      <c r="P733">
        <f t="shared" si="34"/>
        <v>6</v>
      </c>
      <c r="Q733">
        <f t="shared" si="35"/>
        <v>2024</v>
      </c>
    </row>
    <row r="734" spans="1:17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33"/>
        <v>7</v>
      </c>
      <c r="P734">
        <f t="shared" si="34"/>
        <v>3</v>
      </c>
      <c r="Q734">
        <f t="shared" si="35"/>
        <v>2025</v>
      </c>
    </row>
    <row r="735" spans="1:17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33"/>
        <v>4</v>
      </c>
      <c r="P735">
        <f t="shared" si="34"/>
        <v>12</v>
      </c>
      <c r="Q735">
        <f t="shared" si="35"/>
        <v>2023</v>
      </c>
    </row>
    <row r="736" spans="1:17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33"/>
        <v>23</v>
      </c>
      <c r="P736">
        <f t="shared" si="34"/>
        <v>1</v>
      </c>
      <c r="Q736">
        <f t="shared" si="35"/>
        <v>2024</v>
      </c>
    </row>
    <row r="737" spans="1:17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33"/>
        <v>28</v>
      </c>
      <c r="P737">
        <f t="shared" si="34"/>
        <v>6</v>
      </c>
      <c r="Q737">
        <f t="shared" si="35"/>
        <v>2024</v>
      </c>
    </row>
    <row r="738" spans="1:17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33"/>
        <v>9</v>
      </c>
      <c r="P738">
        <f t="shared" si="34"/>
        <v>2</v>
      </c>
      <c r="Q738">
        <f t="shared" si="35"/>
        <v>2024</v>
      </c>
    </row>
    <row r="739" spans="1:17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33"/>
        <v>3</v>
      </c>
      <c r="P739">
        <f t="shared" si="34"/>
        <v>1</v>
      </c>
      <c r="Q739">
        <f t="shared" si="35"/>
        <v>2024</v>
      </c>
    </row>
    <row r="740" spans="1:17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33"/>
        <v>4</v>
      </c>
      <c r="P740">
        <f t="shared" si="34"/>
        <v>6</v>
      </c>
      <c r="Q740">
        <f t="shared" si="35"/>
        <v>2025</v>
      </c>
    </row>
    <row r="741" spans="1:17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33"/>
        <v>13</v>
      </c>
      <c r="P741">
        <f t="shared" si="34"/>
        <v>6</v>
      </c>
      <c r="Q741">
        <f t="shared" si="35"/>
        <v>2024</v>
      </c>
    </row>
    <row r="742" spans="1:17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33"/>
        <v>20</v>
      </c>
      <c r="P742">
        <f t="shared" si="34"/>
        <v>7</v>
      </c>
      <c r="Q742">
        <f t="shared" si="35"/>
        <v>2024</v>
      </c>
    </row>
    <row r="743" spans="1:17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33"/>
        <v>23</v>
      </c>
      <c r="P743">
        <f t="shared" si="34"/>
        <v>1</v>
      </c>
      <c r="Q743">
        <f t="shared" si="35"/>
        <v>2025</v>
      </c>
    </row>
    <row r="744" spans="1:17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33"/>
        <v>30</v>
      </c>
      <c r="P744">
        <f t="shared" si="34"/>
        <v>11</v>
      </c>
      <c r="Q744">
        <f t="shared" si="35"/>
        <v>2024</v>
      </c>
    </row>
    <row r="745" spans="1:17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33"/>
        <v>30</v>
      </c>
      <c r="P745">
        <f t="shared" si="34"/>
        <v>9</v>
      </c>
      <c r="Q745">
        <f t="shared" si="35"/>
        <v>2024</v>
      </c>
    </row>
    <row r="746" spans="1:17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33"/>
        <v>12</v>
      </c>
      <c r="P746">
        <f t="shared" si="34"/>
        <v>6</v>
      </c>
      <c r="Q746">
        <f t="shared" si="35"/>
        <v>2024</v>
      </c>
    </row>
    <row r="747" spans="1:17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33"/>
        <v>2</v>
      </c>
      <c r="P747">
        <f t="shared" si="34"/>
        <v>3</v>
      </c>
      <c r="Q747">
        <f t="shared" si="35"/>
        <v>2023</v>
      </c>
    </row>
    <row r="748" spans="1:17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33"/>
        <v>24</v>
      </c>
      <c r="P748">
        <f t="shared" si="34"/>
        <v>2</v>
      </c>
      <c r="Q748">
        <f t="shared" si="35"/>
        <v>2025</v>
      </c>
    </row>
    <row r="749" spans="1:17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33"/>
        <v>12</v>
      </c>
      <c r="P749">
        <f t="shared" si="34"/>
        <v>3</v>
      </c>
      <c r="Q749">
        <f t="shared" si="35"/>
        <v>2025</v>
      </c>
    </row>
    <row r="750" spans="1:17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33"/>
        <v>15</v>
      </c>
      <c r="P750">
        <f t="shared" si="34"/>
        <v>7</v>
      </c>
      <c r="Q750">
        <f t="shared" si="35"/>
        <v>2024</v>
      </c>
    </row>
    <row r="751" spans="1:17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33"/>
        <v>13</v>
      </c>
      <c r="P751">
        <f t="shared" si="34"/>
        <v>4</v>
      </c>
      <c r="Q751">
        <f t="shared" si="35"/>
        <v>2025</v>
      </c>
    </row>
    <row r="752" spans="1:17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33"/>
        <v>14</v>
      </c>
      <c r="P752">
        <f t="shared" si="34"/>
        <v>1</v>
      </c>
      <c r="Q752">
        <f t="shared" si="35"/>
        <v>2023</v>
      </c>
    </row>
    <row r="753" spans="1:17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33"/>
        <v>24</v>
      </c>
      <c r="P753">
        <f t="shared" si="34"/>
        <v>1</v>
      </c>
      <c r="Q753">
        <f t="shared" si="35"/>
        <v>2023</v>
      </c>
    </row>
    <row r="754" spans="1:17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33"/>
        <v>3</v>
      </c>
      <c r="P754">
        <f t="shared" si="34"/>
        <v>10</v>
      </c>
      <c r="Q754">
        <f t="shared" si="35"/>
        <v>2024</v>
      </c>
    </row>
    <row r="755" spans="1:17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33"/>
        <v>24</v>
      </c>
      <c r="P755">
        <f t="shared" si="34"/>
        <v>4</v>
      </c>
      <c r="Q755">
        <f t="shared" si="35"/>
        <v>2024</v>
      </c>
    </row>
    <row r="756" spans="1:17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33"/>
        <v>31</v>
      </c>
      <c r="P756">
        <f t="shared" si="34"/>
        <v>5</v>
      </c>
      <c r="Q756">
        <f t="shared" si="35"/>
        <v>2025</v>
      </c>
    </row>
    <row r="757" spans="1:17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33"/>
        <v>13</v>
      </c>
      <c r="P757">
        <f t="shared" si="34"/>
        <v>6</v>
      </c>
      <c r="Q757">
        <f t="shared" si="35"/>
        <v>2023</v>
      </c>
    </row>
    <row r="758" spans="1:17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33"/>
        <v>27</v>
      </c>
      <c r="P758">
        <f t="shared" si="34"/>
        <v>6</v>
      </c>
      <c r="Q758">
        <f t="shared" si="35"/>
        <v>2024</v>
      </c>
    </row>
    <row r="759" spans="1:17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33"/>
        <v>22</v>
      </c>
      <c r="P759">
        <f t="shared" si="34"/>
        <v>2</v>
      </c>
      <c r="Q759">
        <f t="shared" si="35"/>
        <v>2024</v>
      </c>
    </row>
    <row r="760" spans="1:17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33"/>
        <v>26</v>
      </c>
      <c r="P760">
        <f t="shared" si="34"/>
        <v>3</v>
      </c>
      <c r="Q760">
        <f t="shared" si="35"/>
        <v>2023</v>
      </c>
    </row>
    <row r="761" spans="1:17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33"/>
        <v>24</v>
      </c>
      <c r="P761">
        <f t="shared" si="34"/>
        <v>7</v>
      </c>
      <c r="Q761">
        <f t="shared" si="35"/>
        <v>2023</v>
      </c>
    </row>
    <row r="762" spans="1:17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33"/>
        <v>18</v>
      </c>
      <c r="P762">
        <f t="shared" si="34"/>
        <v>2</v>
      </c>
      <c r="Q762">
        <f t="shared" si="35"/>
        <v>2025</v>
      </c>
    </row>
    <row r="763" spans="1:17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33"/>
        <v>2</v>
      </c>
      <c r="P763">
        <f t="shared" si="34"/>
        <v>6</v>
      </c>
      <c r="Q763">
        <f t="shared" si="35"/>
        <v>2023</v>
      </c>
    </row>
    <row r="764" spans="1:17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33"/>
        <v>17</v>
      </c>
      <c r="P764">
        <f t="shared" si="34"/>
        <v>9</v>
      </c>
      <c r="Q764">
        <f t="shared" si="35"/>
        <v>2024</v>
      </c>
    </row>
    <row r="765" spans="1:17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33"/>
        <v>6</v>
      </c>
      <c r="P765">
        <f t="shared" si="34"/>
        <v>4</v>
      </c>
      <c r="Q765">
        <f t="shared" si="35"/>
        <v>2023</v>
      </c>
    </row>
    <row r="766" spans="1:17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33"/>
        <v>10</v>
      </c>
      <c r="P766">
        <f t="shared" si="34"/>
        <v>3</v>
      </c>
      <c r="Q766">
        <f t="shared" si="35"/>
        <v>2024</v>
      </c>
    </row>
    <row r="767" spans="1:17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33"/>
        <v>6</v>
      </c>
      <c r="P767">
        <f t="shared" si="34"/>
        <v>10</v>
      </c>
      <c r="Q767">
        <f t="shared" si="35"/>
        <v>2023</v>
      </c>
    </row>
    <row r="768" spans="1:17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33"/>
        <v>22</v>
      </c>
      <c r="P768">
        <f t="shared" si="34"/>
        <v>1</v>
      </c>
      <c r="Q768">
        <f t="shared" si="35"/>
        <v>2023</v>
      </c>
    </row>
    <row r="769" spans="1:17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33"/>
        <v>18</v>
      </c>
      <c r="P769">
        <f t="shared" si="34"/>
        <v>4</v>
      </c>
      <c r="Q769">
        <f t="shared" si="35"/>
        <v>2025</v>
      </c>
    </row>
    <row r="770" spans="1:17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ref="O770:O833" si="36">DAY(B770)</f>
        <v>4</v>
      </c>
      <c r="P770">
        <f t="shared" ref="P770:P833" si="37">MONTH(B770)</f>
        <v>9</v>
      </c>
      <c r="Q770">
        <f t="shared" ref="Q770:Q833" si="38">YEAR(B770)</f>
        <v>2023</v>
      </c>
    </row>
    <row r="771" spans="1:17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si="36"/>
        <v>6</v>
      </c>
      <c r="P771">
        <f t="shared" si="37"/>
        <v>7</v>
      </c>
      <c r="Q771">
        <f t="shared" si="38"/>
        <v>2023</v>
      </c>
    </row>
    <row r="772" spans="1:17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36"/>
        <v>11</v>
      </c>
      <c r="P772">
        <f t="shared" si="37"/>
        <v>2</v>
      </c>
      <c r="Q772">
        <f t="shared" si="38"/>
        <v>2024</v>
      </c>
    </row>
    <row r="773" spans="1:17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36"/>
        <v>12</v>
      </c>
      <c r="P773">
        <f t="shared" si="37"/>
        <v>6</v>
      </c>
      <c r="Q773">
        <f t="shared" si="38"/>
        <v>2024</v>
      </c>
    </row>
    <row r="774" spans="1:17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36"/>
        <v>28</v>
      </c>
      <c r="P774">
        <f t="shared" si="37"/>
        <v>7</v>
      </c>
      <c r="Q774">
        <f t="shared" si="38"/>
        <v>2024</v>
      </c>
    </row>
    <row r="775" spans="1:17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36"/>
        <v>28</v>
      </c>
      <c r="P775">
        <f t="shared" si="37"/>
        <v>6</v>
      </c>
      <c r="Q775">
        <f t="shared" si="38"/>
        <v>2025</v>
      </c>
    </row>
    <row r="776" spans="1:17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36"/>
        <v>15</v>
      </c>
      <c r="P776">
        <f t="shared" si="37"/>
        <v>4</v>
      </c>
      <c r="Q776">
        <f t="shared" si="38"/>
        <v>2025</v>
      </c>
    </row>
    <row r="777" spans="1:17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36"/>
        <v>4</v>
      </c>
      <c r="P777">
        <f t="shared" si="37"/>
        <v>3</v>
      </c>
      <c r="Q777">
        <f t="shared" si="38"/>
        <v>2023</v>
      </c>
    </row>
    <row r="778" spans="1:17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36"/>
        <v>21</v>
      </c>
      <c r="P778">
        <f t="shared" si="37"/>
        <v>8</v>
      </c>
      <c r="Q778">
        <f t="shared" si="38"/>
        <v>2023</v>
      </c>
    </row>
    <row r="779" spans="1:17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36"/>
        <v>21</v>
      </c>
      <c r="P779">
        <f t="shared" si="37"/>
        <v>3</v>
      </c>
      <c r="Q779">
        <f t="shared" si="38"/>
        <v>2025</v>
      </c>
    </row>
    <row r="780" spans="1:17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36"/>
        <v>28</v>
      </c>
      <c r="P780">
        <f t="shared" si="37"/>
        <v>4</v>
      </c>
      <c r="Q780">
        <f t="shared" si="38"/>
        <v>2023</v>
      </c>
    </row>
    <row r="781" spans="1:17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36"/>
        <v>1</v>
      </c>
      <c r="P781">
        <f t="shared" si="37"/>
        <v>12</v>
      </c>
      <c r="Q781">
        <f t="shared" si="38"/>
        <v>2023</v>
      </c>
    </row>
    <row r="782" spans="1:17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36"/>
        <v>31</v>
      </c>
      <c r="P782">
        <f t="shared" si="37"/>
        <v>3</v>
      </c>
      <c r="Q782">
        <f t="shared" si="38"/>
        <v>2024</v>
      </c>
    </row>
    <row r="783" spans="1:17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36"/>
        <v>10</v>
      </c>
      <c r="P783">
        <f t="shared" si="37"/>
        <v>1</v>
      </c>
      <c r="Q783">
        <f t="shared" si="38"/>
        <v>2024</v>
      </c>
    </row>
    <row r="784" spans="1:17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36"/>
        <v>11</v>
      </c>
      <c r="P784">
        <f t="shared" si="37"/>
        <v>8</v>
      </c>
      <c r="Q784">
        <f t="shared" si="38"/>
        <v>2024</v>
      </c>
    </row>
    <row r="785" spans="1:17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36"/>
        <v>26</v>
      </c>
      <c r="P785">
        <f t="shared" si="37"/>
        <v>5</v>
      </c>
      <c r="Q785">
        <f t="shared" si="38"/>
        <v>2025</v>
      </c>
    </row>
    <row r="786" spans="1:17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36"/>
        <v>16</v>
      </c>
      <c r="P786">
        <f t="shared" si="37"/>
        <v>5</v>
      </c>
      <c r="Q786">
        <f t="shared" si="38"/>
        <v>2025</v>
      </c>
    </row>
    <row r="787" spans="1:17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36"/>
        <v>29</v>
      </c>
      <c r="P787">
        <f t="shared" si="37"/>
        <v>7</v>
      </c>
      <c r="Q787">
        <f t="shared" si="38"/>
        <v>2023</v>
      </c>
    </row>
    <row r="788" spans="1:17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36"/>
        <v>23</v>
      </c>
      <c r="P788">
        <f t="shared" si="37"/>
        <v>8</v>
      </c>
      <c r="Q788">
        <f t="shared" si="38"/>
        <v>2023</v>
      </c>
    </row>
    <row r="789" spans="1:17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36"/>
        <v>17</v>
      </c>
      <c r="P789">
        <f t="shared" si="37"/>
        <v>3</v>
      </c>
      <c r="Q789">
        <f t="shared" si="38"/>
        <v>2024</v>
      </c>
    </row>
    <row r="790" spans="1:17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36"/>
        <v>2</v>
      </c>
      <c r="P790">
        <f t="shared" si="37"/>
        <v>11</v>
      </c>
      <c r="Q790">
        <f t="shared" si="38"/>
        <v>2023</v>
      </c>
    </row>
    <row r="791" spans="1:17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36"/>
        <v>17</v>
      </c>
      <c r="P791">
        <f t="shared" si="37"/>
        <v>8</v>
      </c>
      <c r="Q791">
        <f t="shared" si="38"/>
        <v>2023</v>
      </c>
    </row>
    <row r="792" spans="1:17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36"/>
        <v>14</v>
      </c>
      <c r="P792">
        <f t="shared" si="37"/>
        <v>9</v>
      </c>
      <c r="Q792">
        <f t="shared" si="38"/>
        <v>2024</v>
      </c>
    </row>
    <row r="793" spans="1:17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36"/>
        <v>13</v>
      </c>
      <c r="P793">
        <f t="shared" si="37"/>
        <v>1</v>
      </c>
      <c r="Q793">
        <f t="shared" si="38"/>
        <v>2024</v>
      </c>
    </row>
    <row r="794" spans="1:17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36"/>
        <v>16</v>
      </c>
      <c r="P794">
        <f t="shared" si="37"/>
        <v>6</v>
      </c>
      <c r="Q794">
        <f t="shared" si="38"/>
        <v>2023</v>
      </c>
    </row>
    <row r="795" spans="1:17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36"/>
        <v>15</v>
      </c>
      <c r="P795">
        <f t="shared" si="37"/>
        <v>4</v>
      </c>
      <c r="Q795">
        <f t="shared" si="38"/>
        <v>2024</v>
      </c>
    </row>
    <row r="796" spans="1:17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36"/>
        <v>9</v>
      </c>
      <c r="P796">
        <f t="shared" si="37"/>
        <v>3</v>
      </c>
      <c r="Q796">
        <f t="shared" si="38"/>
        <v>2023</v>
      </c>
    </row>
    <row r="797" spans="1:17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36"/>
        <v>20</v>
      </c>
      <c r="P797">
        <f t="shared" si="37"/>
        <v>11</v>
      </c>
      <c r="Q797">
        <f t="shared" si="38"/>
        <v>2024</v>
      </c>
    </row>
    <row r="798" spans="1:17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36"/>
        <v>29</v>
      </c>
      <c r="P798">
        <f t="shared" si="37"/>
        <v>4</v>
      </c>
      <c r="Q798">
        <f t="shared" si="38"/>
        <v>2025</v>
      </c>
    </row>
    <row r="799" spans="1:17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36"/>
        <v>27</v>
      </c>
      <c r="P799">
        <f t="shared" si="37"/>
        <v>2</v>
      </c>
      <c r="Q799">
        <f t="shared" si="38"/>
        <v>2023</v>
      </c>
    </row>
    <row r="800" spans="1:17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36"/>
        <v>19</v>
      </c>
      <c r="P800">
        <f t="shared" si="37"/>
        <v>5</v>
      </c>
      <c r="Q800">
        <f t="shared" si="38"/>
        <v>2025</v>
      </c>
    </row>
    <row r="801" spans="1:17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36"/>
        <v>16</v>
      </c>
      <c r="P801">
        <f t="shared" si="37"/>
        <v>4</v>
      </c>
      <c r="Q801">
        <f t="shared" si="38"/>
        <v>2023</v>
      </c>
    </row>
    <row r="802" spans="1:17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36"/>
        <v>28</v>
      </c>
      <c r="P802">
        <f t="shared" si="37"/>
        <v>3</v>
      </c>
      <c r="Q802">
        <f t="shared" si="38"/>
        <v>2025</v>
      </c>
    </row>
    <row r="803" spans="1:17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36"/>
        <v>3</v>
      </c>
      <c r="P803">
        <f t="shared" si="37"/>
        <v>5</v>
      </c>
      <c r="Q803">
        <f t="shared" si="38"/>
        <v>2023</v>
      </c>
    </row>
    <row r="804" spans="1:17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36"/>
        <v>17</v>
      </c>
      <c r="P804">
        <f t="shared" si="37"/>
        <v>2</v>
      </c>
      <c r="Q804">
        <f t="shared" si="38"/>
        <v>2024</v>
      </c>
    </row>
    <row r="805" spans="1:17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36"/>
        <v>20</v>
      </c>
      <c r="P805">
        <f t="shared" si="37"/>
        <v>8</v>
      </c>
      <c r="Q805">
        <f t="shared" si="38"/>
        <v>2023</v>
      </c>
    </row>
    <row r="806" spans="1:17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36"/>
        <v>1</v>
      </c>
      <c r="P806">
        <f t="shared" si="37"/>
        <v>1</v>
      </c>
      <c r="Q806">
        <f t="shared" si="38"/>
        <v>2024</v>
      </c>
    </row>
    <row r="807" spans="1:17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36"/>
        <v>15</v>
      </c>
      <c r="P807">
        <f t="shared" si="37"/>
        <v>10</v>
      </c>
      <c r="Q807">
        <f t="shared" si="38"/>
        <v>2024</v>
      </c>
    </row>
    <row r="808" spans="1:17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36"/>
        <v>1</v>
      </c>
      <c r="P808">
        <f t="shared" si="37"/>
        <v>9</v>
      </c>
      <c r="Q808">
        <f t="shared" si="38"/>
        <v>2023</v>
      </c>
    </row>
    <row r="809" spans="1:17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36"/>
        <v>10</v>
      </c>
      <c r="P809">
        <f t="shared" si="37"/>
        <v>11</v>
      </c>
      <c r="Q809">
        <f t="shared" si="38"/>
        <v>2024</v>
      </c>
    </row>
    <row r="810" spans="1:17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36"/>
        <v>13</v>
      </c>
      <c r="P810">
        <f t="shared" si="37"/>
        <v>2</v>
      </c>
      <c r="Q810">
        <f t="shared" si="38"/>
        <v>2024</v>
      </c>
    </row>
    <row r="811" spans="1:17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36"/>
        <v>9</v>
      </c>
      <c r="P811">
        <f t="shared" si="37"/>
        <v>4</v>
      </c>
      <c r="Q811">
        <f t="shared" si="38"/>
        <v>2024</v>
      </c>
    </row>
    <row r="812" spans="1:17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36"/>
        <v>31</v>
      </c>
      <c r="P812">
        <f t="shared" si="37"/>
        <v>5</v>
      </c>
      <c r="Q812">
        <f t="shared" si="38"/>
        <v>2023</v>
      </c>
    </row>
    <row r="813" spans="1:17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36"/>
        <v>5</v>
      </c>
      <c r="P813">
        <f t="shared" si="37"/>
        <v>11</v>
      </c>
      <c r="Q813">
        <f t="shared" si="38"/>
        <v>2023</v>
      </c>
    </row>
    <row r="814" spans="1:17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36"/>
        <v>26</v>
      </c>
      <c r="P814">
        <f t="shared" si="37"/>
        <v>1</v>
      </c>
      <c r="Q814">
        <f t="shared" si="38"/>
        <v>2024</v>
      </c>
    </row>
    <row r="815" spans="1:17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36"/>
        <v>15</v>
      </c>
      <c r="P815">
        <f t="shared" si="37"/>
        <v>3</v>
      </c>
      <c r="Q815">
        <f t="shared" si="38"/>
        <v>2025</v>
      </c>
    </row>
    <row r="816" spans="1:17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36"/>
        <v>11</v>
      </c>
      <c r="P816">
        <f t="shared" si="37"/>
        <v>12</v>
      </c>
      <c r="Q816">
        <f t="shared" si="38"/>
        <v>2024</v>
      </c>
    </row>
    <row r="817" spans="1:17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36"/>
        <v>4</v>
      </c>
      <c r="P817">
        <f t="shared" si="37"/>
        <v>8</v>
      </c>
      <c r="Q817">
        <f t="shared" si="38"/>
        <v>2024</v>
      </c>
    </row>
    <row r="818" spans="1:17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36"/>
        <v>21</v>
      </c>
      <c r="P818">
        <f t="shared" si="37"/>
        <v>2</v>
      </c>
      <c r="Q818">
        <f t="shared" si="38"/>
        <v>2024</v>
      </c>
    </row>
    <row r="819" spans="1:17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36"/>
        <v>5</v>
      </c>
      <c r="P819">
        <f t="shared" si="37"/>
        <v>10</v>
      </c>
      <c r="Q819">
        <f t="shared" si="38"/>
        <v>2023</v>
      </c>
    </row>
    <row r="820" spans="1:17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36"/>
        <v>2</v>
      </c>
      <c r="P820">
        <f t="shared" si="37"/>
        <v>3</v>
      </c>
      <c r="Q820">
        <f t="shared" si="38"/>
        <v>2023</v>
      </c>
    </row>
    <row r="821" spans="1:17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36"/>
        <v>28</v>
      </c>
      <c r="P821">
        <f t="shared" si="37"/>
        <v>9</v>
      </c>
      <c r="Q821">
        <f t="shared" si="38"/>
        <v>2024</v>
      </c>
    </row>
    <row r="822" spans="1:17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36"/>
        <v>27</v>
      </c>
      <c r="P822">
        <f t="shared" si="37"/>
        <v>5</v>
      </c>
      <c r="Q822">
        <f t="shared" si="38"/>
        <v>2023</v>
      </c>
    </row>
    <row r="823" spans="1:17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36"/>
        <v>14</v>
      </c>
      <c r="P823">
        <f t="shared" si="37"/>
        <v>12</v>
      </c>
      <c r="Q823">
        <f t="shared" si="38"/>
        <v>2024</v>
      </c>
    </row>
    <row r="824" spans="1:17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36"/>
        <v>15</v>
      </c>
      <c r="P824">
        <f t="shared" si="37"/>
        <v>3</v>
      </c>
      <c r="Q824">
        <f t="shared" si="38"/>
        <v>2025</v>
      </c>
    </row>
    <row r="825" spans="1:17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36"/>
        <v>7</v>
      </c>
      <c r="P825">
        <f t="shared" si="37"/>
        <v>10</v>
      </c>
      <c r="Q825">
        <f t="shared" si="38"/>
        <v>2024</v>
      </c>
    </row>
    <row r="826" spans="1:17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36"/>
        <v>29</v>
      </c>
      <c r="P826">
        <f t="shared" si="37"/>
        <v>8</v>
      </c>
      <c r="Q826">
        <f t="shared" si="38"/>
        <v>2023</v>
      </c>
    </row>
    <row r="827" spans="1:17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36"/>
        <v>26</v>
      </c>
      <c r="P827">
        <f t="shared" si="37"/>
        <v>3</v>
      </c>
      <c r="Q827">
        <f t="shared" si="38"/>
        <v>2025</v>
      </c>
    </row>
    <row r="828" spans="1:17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36"/>
        <v>8</v>
      </c>
      <c r="P828">
        <f t="shared" si="37"/>
        <v>3</v>
      </c>
      <c r="Q828">
        <f t="shared" si="38"/>
        <v>2025</v>
      </c>
    </row>
    <row r="829" spans="1:17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36"/>
        <v>25</v>
      </c>
      <c r="P829">
        <f t="shared" si="37"/>
        <v>5</v>
      </c>
      <c r="Q829">
        <f t="shared" si="38"/>
        <v>2023</v>
      </c>
    </row>
    <row r="830" spans="1:17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36"/>
        <v>24</v>
      </c>
      <c r="P830">
        <f t="shared" si="37"/>
        <v>7</v>
      </c>
      <c r="Q830">
        <f t="shared" si="38"/>
        <v>2024</v>
      </c>
    </row>
    <row r="831" spans="1:17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36"/>
        <v>5</v>
      </c>
      <c r="P831">
        <f t="shared" si="37"/>
        <v>2</v>
      </c>
      <c r="Q831">
        <f t="shared" si="38"/>
        <v>2023</v>
      </c>
    </row>
    <row r="832" spans="1:17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36"/>
        <v>11</v>
      </c>
      <c r="P832">
        <f t="shared" si="37"/>
        <v>12</v>
      </c>
      <c r="Q832">
        <f t="shared" si="38"/>
        <v>2024</v>
      </c>
    </row>
    <row r="833" spans="1:17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36"/>
        <v>18</v>
      </c>
      <c r="P833">
        <f t="shared" si="37"/>
        <v>12</v>
      </c>
      <c r="Q833">
        <f t="shared" si="38"/>
        <v>2023</v>
      </c>
    </row>
    <row r="834" spans="1:17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ref="O834:O897" si="39">DAY(B834)</f>
        <v>12</v>
      </c>
      <c r="P834">
        <f t="shared" ref="P834:P897" si="40">MONTH(B834)</f>
        <v>3</v>
      </c>
      <c r="Q834">
        <f t="shared" ref="Q834:Q897" si="41">YEAR(B834)</f>
        <v>2024</v>
      </c>
    </row>
    <row r="835" spans="1:17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si="39"/>
        <v>14</v>
      </c>
      <c r="P835">
        <f t="shared" si="40"/>
        <v>3</v>
      </c>
      <c r="Q835">
        <f t="shared" si="41"/>
        <v>2025</v>
      </c>
    </row>
    <row r="836" spans="1:17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39"/>
        <v>11</v>
      </c>
      <c r="P836">
        <f t="shared" si="40"/>
        <v>4</v>
      </c>
      <c r="Q836">
        <f t="shared" si="41"/>
        <v>2024</v>
      </c>
    </row>
    <row r="837" spans="1:17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39"/>
        <v>26</v>
      </c>
      <c r="P837">
        <f t="shared" si="40"/>
        <v>3</v>
      </c>
      <c r="Q837">
        <f t="shared" si="41"/>
        <v>2024</v>
      </c>
    </row>
    <row r="838" spans="1:17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39"/>
        <v>2</v>
      </c>
      <c r="P838">
        <f t="shared" si="40"/>
        <v>2</v>
      </c>
      <c r="Q838">
        <f t="shared" si="41"/>
        <v>2023</v>
      </c>
    </row>
    <row r="839" spans="1:17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39"/>
        <v>14</v>
      </c>
      <c r="P839">
        <f t="shared" si="40"/>
        <v>6</v>
      </c>
      <c r="Q839">
        <f t="shared" si="41"/>
        <v>2025</v>
      </c>
    </row>
    <row r="840" spans="1:17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39"/>
        <v>11</v>
      </c>
      <c r="P840">
        <f t="shared" si="40"/>
        <v>4</v>
      </c>
      <c r="Q840">
        <f t="shared" si="41"/>
        <v>2024</v>
      </c>
    </row>
    <row r="841" spans="1:17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39"/>
        <v>24</v>
      </c>
      <c r="P841">
        <f t="shared" si="40"/>
        <v>8</v>
      </c>
      <c r="Q841">
        <f t="shared" si="41"/>
        <v>2023</v>
      </c>
    </row>
    <row r="842" spans="1:17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39"/>
        <v>14</v>
      </c>
      <c r="P842">
        <f t="shared" si="40"/>
        <v>1</v>
      </c>
      <c r="Q842">
        <f t="shared" si="41"/>
        <v>2024</v>
      </c>
    </row>
    <row r="843" spans="1:17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39"/>
        <v>19</v>
      </c>
      <c r="P843">
        <f t="shared" si="40"/>
        <v>9</v>
      </c>
      <c r="Q843">
        <f t="shared" si="41"/>
        <v>2024</v>
      </c>
    </row>
    <row r="844" spans="1:17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39"/>
        <v>7</v>
      </c>
      <c r="P844">
        <f t="shared" si="40"/>
        <v>5</v>
      </c>
      <c r="Q844">
        <f t="shared" si="41"/>
        <v>2025</v>
      </c>
    </row>
    <row r="845" spans="1:17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39"/>
        <v>13</v>
      </c>
      <c r="P845">
        <f t="shared" si="40"/>
        <v>5</v>
      </c>
      <c r="Q845">
        <f t="shared" si="41"/>
        <v>2025</v>
      </c>
    </row>
    <row r="846" spans="1:17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39"/>
        <v>4</v>
      </c>
      <c r="P846">
        <f t="shared" si="40"/>
        <v>12</v>
      </c>
      <c r="Q846">
        <f t="shared" si="41"/>
        <v>2024</v>
      </c>
    </row>
    <row r="847" spans="1:17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39"/>
        <v>8</v>
      </c>
      <c r="P847">
        <f t="shared" si="40"/>
        <v>10</v>
      </c>
      <c r="Q847">
        <f t="shared" si="41"/>
        <v>2023</v>
      </c>
    </row>
    <row r="848" spans="1:17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39"/>
        <v>4</v>
      </c>
      <c r="P848">
        <f t="shared" si="40"/>
        <v>7</v>
      </c>
      <c r="Q848">
        <f t="shared" si="41"/>
        <v>2024</v>
      </c>
    </row>
    <row r="849" spans="1:17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39"/>
        <v>18</v>
      </c>
      <c r="P849">
        <f t="shared" si="40"/>
        <v>11</v>
      </c>
      <c r="Q849">
        <f t="shared" si="41"/>
        <v>2024</v>
      </c>
    </row>
    <row r="850" spans="1:17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39"/>
        <v>1</v>
      </c>
      <c r="P850">
        <f t="shared" si="40"/>
        <v>1</v>
      </c>
      <c r="Q850">
        <f t="shared" si="41"/>
        <v>2023</v>
      </c>
    </row>
    <row r="851" spans="1:17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39"/>
        <v>9</v>
      </c>
      <c r="P851">
        <f t="shared" si="40"/>
        <v>6</v>
      </c>
      <c r="Q851">
        <f t="shared" si="41"/>
        <v>2025</v>
      </c>
    </row>
    <row r="852" spans="1:17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39"/>
        <v>27</v>
      </c>
      <c r="P852">
        <f t="shared" si="40"/>
        <v>4</v>
      </c>
      <c r="Q852">
        <f t="shared" si="41"/>
        <v>2025</v>
      </c>
    </row>
    <row r="853" spans="1:17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39"/>
        <v>12</v>
      </c>
      <c r="P853">
        <f t="shared" si="40"/>
        <v>12</v>
      </c>
      <c r="Q853">
        <f t="shared" si="41"/>
        <v>2023</v>
      </c>
    </row>
    <row r="854" spans="1:17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39"/>
        <v>24</v>
      </c>
      <c r="P854">
        <f t="shared" si="40"/>
        <v>10</v>
      </c>
      <c r="Q854">
        <f t="shared" si="41"/>
        <v>2024</v>
      </c>
    </row>
    <row r="855" spans="1:17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39"/>
        <v>16</v>
      </c>
      <c r="P855">
        <f t="shared" si="40"/>
        <v>10</v>
      </c>
      <c r="Q855">
        <f t="shared" si="41"/>
        <v>2023</v>
      </c>
    </row>
    <row r="856" spans="1:17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39"/>
        <v>13</v>
      </c>
      <c r="P856">
        <f t="shared" si="40"/>
        <v>6</v>
      </c>
      <c r="Q856">
        <f t="shared" si="41"/>
        <v>2025</v>
      </c>
    </row>
    <row r="857" spans="1:17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39"/>
        <v>25</v>
      </c>
      <c r="P857">
        <f t="shared" si="40"/>
        <v>5</v>
      </c>
      <c r="Q857">
        <f t="shared" si="41"/>
        <v>2023</v>
      </c>
    </row>
    <row r="858" spans="1:17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39"/>
        <v>3</v>
      </c>
      <c r="P858">
        <f t="shared" si="40"/>
        <v>6</v>
      </c>
      <c r="Q858">
        <f t="shared" si="41"/>
        <v>2024</v>
      </c>
    </row>
    <row r="859" spans="1:17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39"/>
        <v>10</v>
      </c>
      <c r="P859">
        <f t="shared" si="40"/>
        <v>3</v>
      </c>
      <c r="Q859">
        <f t="shared" si="41"/>
        <v>2024</v>
      </c>
    </row>
    <row r="860" spans="1:17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39"/>
        <v>20</v>
      </c>
      <c r="P860">
        <f t="shared" si="40"/>
        <v>8</v>
      </c>
      <c r="Q860">
        <f t="shared" si="41"/>
        <v>2023</v>
      </c>
    </row>
    <row r="861" spans="1:17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39"/>
        <v>28</v>
      </c>
      <c r="P861">
        <f t="shared" si="40"/>
        <v>8</v>
      </c>
      <c r="Q861">
        <f t="shared" si="41"/>
        <v>2024</v>
      </c>
    </row>
    <row r="862" spans="1:17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39"/>
        <v>23</v>
      </c>
      <c r="P862">
        <f t="shared" si="40"/>
        <v>1</v>
      </c>
      <c r="Q862">
        <f t="shared" si="41"/>
        <v>2024</v>
      </c>
    </row>
    <row r="863" spans="1:17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39"/>
        <v>19</v>
      </c>
      <c r="P863">
        <f t="shared" si="40"/>
        <v>3</v>
      </c>
      <c r="Q863">
        <f t="shared" si="41"/>
        <v>2023</v>
      </c>
    </row>
    <row r="864" spans="1:17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39"/>
        <v>2</v>
      </c>
      <c r="P864">
        <f t="shared" si="40"/>
        <v>12</v>
      </c>
      <c r="Q864">
        <f t="shared" si="41"/>
        <v>2023</v>
      </c>
    </row>
    <row r="865" spans="1:17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39"/>
        <v>20</v>
      </c>
      <c r="P865">
        <f t="shared" si="40"/>
        <v>5</v>
      </c>
      <c r="Q865">
        <f t="shared" si="41"/>
        <v>2024</v>
      </c>
    </row>
    <row r="866" spans="1:17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39"/>
        <v>3</v>
      </c>
      <c r="P866">
        <f t="shared" si="40"/>
        <v>5</v>
      </c>
      <c r="Q866">
        <f t="shared" si="41"/>
        <v>2023</v>
      </c>
    </row>
    <row r="867" spans="1:17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39"/>
        <v>30</v>
      </c>
      <c r="P867">
        <f t="shared" si="40"/>
        <v>4</v>
      </c>
      <c r="Q867">
        <f t="shared" si="41"/>
        <v>2023</v>
      </c>
    </row>
    <row r="868" spans="1:17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39"/>
        <v>26</v>
      </c>
      <c r="P868">
        <f t="shared" si="40"/>
        <v>7</v>
      </c>
      <c r="Q868">
        <f t="shared" si="41"/>
        <v>2024</v>
      </c>
    </row>
    <row r="869" spans="1:17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39"/>
        <v>26</v>
      </c>
      <c r="P869">
        <f t="shared" si="40"/>
        <v>5</v>
      </c>
      <c r="Q869">
        <f t="shared" si="41"/>
        <v>2024</v>
      </c>
    </row>
    <row r="870" spans="1:17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39"/>
        <v>29</v>
      </c>
      <c r="P870">
        <f t="shared" si="40"/>
        <v>6</v>
      </c>
      <c r="Q870">
        <f t="shared" si="41"/>
        <v>2024</v>
      </c>
    </row>
    <row r="871" spans="1:17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39"/>
        <v>17</v>
      </c>
      <c r="P871">
        <f t="shared" si="40"/>
        <v>3</v>
      </c>
      <c r="Q871">
        <f t="shared" si="41"/>
        <v>2024</v>
      </c>
    </row>
    <row r="872" spans="1:17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39"/>
        <v>1</v>
      </c>
      <c r="P872">
        <f t="shared" si="40"/>
        <v>6</v>
      </c>
      <c r="Q872">
        <f t="shared" si="41"/>
        <v>2025</v>
      </c>
    </row>
    <row r="873" spans="1:17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</v>
      </c>
      <c r="O873">
        <f t="shared" si="39"/>
        <v>16</v>
      </c>
      <c r="P873">
        <f t="shared" si="40"/>
        <v>5</v>
      </c>
      <c r="Q873">
        <f t="shared" si="41"/>
        <v>2024</v>
      </c>
    </row>
    <row r="874" spans="1:17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39"/>
        <v>10</v>
      </c>
      <c r="P874">
        <f t="shared" si="40"/>
        <v>7</v>
      </c>
      <c r="Q874">
        <f t="shared" si="41"/>
        <v>2023</v>
      </c>
    </row>
    <row r="875" spans="1:17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39"/>
        <v>12</v>
      </c>
      <c r="P875">
        <f t="shared" si="40"/>
        <v>5</v>
      </c>
      <c r="Q875">
        <f t="shared" si="41"/>
        <v>2024</v>
      </c>
    </row>
    <row r="876" spans="1:17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39"/>
        <v>31</v>
      </c>
      <c r="P876">
        <f t="shared" si="40"/>
        <v>10</v>
      </c>
      <c r="Q876">
        <f t="shared" si="41"/>
        <v>2023</v>
      </c>
    </row>
    <row r="877" spans="1:17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666.95</v>
      </c>
      <c r="O877">
        <f t="shared" si="39"/>
        <v>3</v>
      </c>
      <c r="P877">
        <f t="shared" si="40"/>
        <v>8</v>
      </c>
      <c r="Q877">
        <f t="shared" si="41"/>
        <v>2023</v>
      </c>
    </row>
    <row r="878" spans="1:17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39"/>
        <v>9</v>
      </c>
      <c r="P878">
        <f t="shared" si="40"/>
        <v>6</v>
      </c>
      <c r="Q878">
        <f t="shared" si="41"/>
        <v>2024</v>
      </c>
    </row>
    <row r="879" spans="1:17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39"/>
        <v>25</v>
      </c>
      <c r="P879">
        <f t="shared" si="40"/>
        <v>7</v>
      </c>
      <c r="Q879">
        <f t="shared" si="41"/>
        <v>2024</v>
      </c>
    </row>
    <row r="880" spans="1:17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39"/>
        <v>1</v>
      </c>
      <c r="P880">
        <f t="shared" si="40"/>
        <v>6</v>
      </c>
      <c r="Q880">
        <f t="shared" si="41"/>
        <v>2023</v>
      </c>
    </row>
    <row r="881" spans="1:17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39"/>
        <v>8</v>
      </c>
      <c r="P881">
        <f t="shared" si="40"/>
        <v>4</v>
      </c>
      <c r="Q881">
        <f t="shared" si="41"/>
        <v>2025</v>
      </c>
    </row>
    <row r="882" spans="1:17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39"/>
        <v>12</v>
      </c>
      <c r="P882">
        <f t="shared" si="40"/>
        <v>3</v>
      </c>
      <c r="Q882">
        <f t="shared" si="41"/>
        <v>2025</v>
      </c>
    </row>
    <row r="883" spans="1:17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39"/>
        <v>3</v>
      </c>
      <c r="P883">
        <f t="shared" si="40"/>
        <v>1</v>
      </c>
      <c r="Q883">
        <f t="shared" si="41"/>
        <v>2023</v>
      </c>
    </row>
    <row r="884" spans="1:17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39"/>
        <v>28</v>
      </c>
      <c r="P884">
        <f t="shared" si="40"/>
        <v>6</v>
      </c>
      <c r="Q884">
        <f t="shared" si="41"/>
        <v>2025</v>
      </c>
    </row>
    <row r="885" spans="1:17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39"/>
        <v>13</v>
      </c>
      <c r="P885">
        <f t="shared" si="40"/>
        <v>5</v>
      </c>
      <c r="Q885">
        <f t="shared" si="41"/>
        <v>2025</v>
      </c>
    </row>
    <row r="886" spans="1:17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39"/>
        <v>15</v>
      </c>
      <c r="P886">
        <f t="shared" si="40"/>
        <v>5</v>
      </c>
      <c r="Q886">
        <f t="shared" si="41"/>
        <v>2024</v>
      </c>
    </row>
    <row r="887" spans="1:17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39"/>
        <v>7</v>
      </c>
      <c r="P887">
        <f t="shared" si="40"/>
        <v>4</v>
      </c>
      <c r="Q887">
        <f t="shared" si="41"/>
        <v>2024</v>
      </c>
    </row>
    <row r="888" spans="1:17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39"/>
        <v>25</v>
      </c>
      <c r="P888">
        <f t="shared" si="40"/>
        <v>10</v>
      </c>
      <c r="Q888">
        <f t="shared" si="41"/>
        <v>2023</v>
      </c>
    </row>
    <row r="889" spans="1:17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39"/>
        <v>19</v>
      </c>
      <c r="P889">
        <f t="shared" si="40"/>
        <v>12</v>
      </c>
      <c r="Q889">
        <f t="shared" si="41"/>
        <v>2024</v>
      </c>
    </row>
    <row r="890" spans="1:17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39"/>
        <v>23</v>
      </c>
      <c r="P890">
        <f t="shared" si="40"/>
        <v>7</v>
      </c>
      <c r="Q890">
        <f t="shared" si="41"/>
        <v>2024</v>
      </c>
    </row>
    <row r="891" spans="1:17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39"/>
        <v>27</v>
      </c>
      <c r="P891">
        <f t="shared" si="40"/>
        <v>10</v>
      </c>
      <c r="Q891">
        <f t="shared" si="41"/>
        <v>2024</v>
      </c>
    </row>
    <row r="892" spans="1:17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39"/>
        <v>11</v>
      </c>
      <c r="P892">
        <f t="shared" si="40"/>
        <v>8</v>
      </c>
      <c r="Q892">
        <f t="shared" si="41"/>
        <v>2023</v>
      </c>
    </row>
    <row r="893" spans="1:17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39"/>
        <v>11</v>
      </c>
      <c r="P893">
        <f t="shared" si="40"/>
        <v>11</v>
      </c>
      <c r="Q893">
        <f t="shared" si="41"/>
        <v>2023</v>
      </c>
    </row>
    <row r="894" spans="1:17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39"/>
        <v>4</v>
      </c>
      <c r="P894">
        <f t="shared" si="40"/>
        <v>6</v>
      </c>
      <c r="Q894">
        <f t="shared" si="41"/>
        <v>2024</v>
      </c>
    </row>
    <row r="895" spans="1:17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39"/>
        <v>21</v>
      </c>
      <c r="P895">
        <f t="shared" si="40"/>
        <v>3</v>
      </c>
      <c r="Q895">
        <f t="shared" si="41"/>
        <v>2023</v>
      </c>
    </row>
    <row r="896" spans="1:17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39"/>
        <v>23</v>
      </c>
      <c r="P896">
        <f t="shared" si="40"/>
        <v>5</v>
      </c>
      <c r="Q896">
        <f t="shared" si="41"/>
        <v>2023</v>
      </c>
    </row>
    <row r="897" spans="1:17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39"/>
        <v>9</v>
      </c>
      <c r="P897">
        <f t="shared" si="40"/>
        <v>11</v>
      </c>
      <c r="Q897">
        <f t="shared" si="41"/>
        <v>2023</v>
      </c>
    </row>
    <row r="898" spans="1:17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ref="O898:O961" si="42">DAY(B898)</f>
        <v>18</v>
      </c>
      <c r="P898">
        <f t="shared" ref="P898:P961" si="43">MONTH(B898)</f>
        <v>10</v>
      </c>
      <c r="Q898">
        <f t="shared" ref="Q898:Q961" si="44">YEAR(B898)</f>
        <v>2024</v>
      </c>
    </row>
    <row r="899" spans="1:17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si="42"/>
        <v>3</v>
      </c>
      <c r="P899">
        <f t="shared" si="43"/>
        <v>9</v>
      </c>
      <c r="Q899">
        <f t="shared" si="44"/>
        <v>2024</v>
      </c>
    </row>
    <row r="900" spans="1:17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42"/>
        <v>5</v>
      </c>
      <c r="P900">
        <f t="shared" si="43"/>
        <v>3</v>
      </c>
      <c r="Q900">
        <f t="shared" si="44"/>
        <v>2025</v>
      </c>
    </row>
    <row r="901" spans="1:17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42"/>
        <v>23</v>
      </c>
      <c r="P901">
        <f t="shared" si="43"/>
        <v>4</v>
      </c>
      <c r="Q901">
        <f t="shared" si="44"/>
        <v>2025</v>
      </c>
    </row>
    <row r="902" spans="1:17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42"/>
        <v>7</v>
      </c>
      <c r="P902">
        <f t="shared" si="43"/>
        <v>2</v>
      </c>
      <c r="Q902">
        <f t="shared" si="44"/>
        <v>2025</v>
      </c>
    </row>
    <row r="903" spans="1:17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42"/>
        <v>28</v>
      </c>
      <c r="P903">
        <f t="shared" si="43"/>
        <v>4</v>
      </c>
      <c r="Q903">
        <f t="shared" si="44"/>
        <v>2024</v>
      </c>
    </row>
    <row r="904" spans="1:17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42"/>
        <v>13</v>
      </c>
      <c r="P904">
        <f t="shared" si="43"/>
        <v>7</v>
      </c>
      <c r="Q904">
        <f t="shared" si="44"/>
        <v>2024</v>
      </c>
    </row>
    <row r="905" spans="1:17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42"/>
        <v>17</v>
      </c>
      <c r="P905">
        <f t="shared" si="43"/>
        <v>5</v>
      </c>
      <c r="Q905">
        <f t="shared" si="44"/>
        <v>2023</v>
      </c>
    </row>
    <row r="906" spans="1:17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42"/>
        <v>5</v>
      </c>
      <c r="P906">
        <f t="shared" si="43"/>
        <v>2</v>
      </c>
      <c r="Q906">
        <f t="shared" si="44"/>
        <v>2025</v>
      </c>
    </row>
    <row r="907" spans="1:17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42"/>
        <v>23</v>
      </c>
      <c r="P907">
        <f t="shared" si="43"/>
        <v>11</v>
      </c>
      <c r="Q907">
        <f t="shared" si="44"/>
        <v>2023</v>
      </c>
    </row>
    <row r="908" spans="1:17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42"/>
        <v>3</v>
      </c>
      <c r="P908">
        <f t="shared" si="43"/>
        <v>9</v>
      </c>
      <c r="Q908">
        <f t="shared" si="44"/>
        <v>2024</v>
      </c>
    </row>
    <row r="909" spans="1:17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42"/>
        <v>4</v>
      </c>
      <c r="P909">
        <f t="shared" si="43"/>
        <v>8</v>
      </c>
      <c r="Q909">
        <f t="shared" si="44"/>
        <v>2024</v>
      </c>
    </row>
    <row r="910" spans="1:17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42"/>
        <v>6</v>
      </c>
      <c r="P910">
        <f t="shared" si="43"/>
        <v>5</v>
      </c>
      <c r="Q910">
        <f t="shared" si="44"/>
        <v>2025</v>
      </c>
    </row>
    <row r="911" spans="1:17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42"/>
        <v>27</v>
      </c>
      <c r="P911">
        <f t="shared" si="43"/>
        <v>5</v>
      </c>
      <c r="Q911">
        <f t="shared" si="44"/>
        <v>2024</v>
      </c>
    </row>
    <row r="912" spans="1:17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42"/>
        <v>31</v>
      </c>
      <c r="P912">
        <f t="shared" si="43"/>
        <v>5</v>
      </c>
      <c r="Q912">
        <f t="shared" si="44"/>
        <v>2024</v>
      </c>
    </row>
    <row r="913" spans="1:17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42"/>
        <v>13</v>
      </c>
      <c r="P913">
        <f t="shared" si="43"/>
        <v>8</v>
      </c>
      <c r="Q913">
        <f t="shared" si="44"/>
        <v>2024</v>
      </c>
    </row>
    <row r="914" spans="1:17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42"/>
        <v>22</v>
      </c>
      <c r="P914">
        <f t="shared" si="43"/>
        <v>1</v>
      </c>
      <c r="Q914">
        <f t="shared" si="44"/>
        <v>2024</v>
      </c>
    </row>
    <row r="915" spans="1:17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42"/>
        <v>16</v>
      </c>
      <c r="P915">
        <f t="shared" si="43"/>
        <v>2</v>
      </c>
      <c r="Q915">
        <f t="shared" si="44"/>
        <v>2023</v>
      </c>
    </row>
    <row r="916" spans="1:17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42"/>
        <v>10</v>
      </c>
      <c r="P916">
        <f t="shared" si="43"/>
        <v>2</v>
      </c>
      <c r="Q916">
        <f t="shared" si="44"/>
        <v>2025</v>
      </c>
    </row>
    <row r="917" spans="1:17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42"/>
        <v>16</v>
      </c>
      <c r="P917">
        <f t="shared" si="43"/>
        <v>2</v>
      </c>
      <c r="Q917">
        <f t="shared" si="44"/>
        <v>2024</v>
      </c>
    </row>
    <row r="918" spans="1:17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42"/>
        <v>21</v>
      </c>
      <c r="P918">
        <f t="shared" si="43"/>
        <v>6</v>
      </c>
      <c r="Q918">
        <f t="shared" si="44"/>
        <v>2024</v>
      </c>
    </row>
    <row r="919" spans="1:17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42"/>
        <v>20</v>
      </c>
      <c r="P919">
        <f t="shared" si="43"/>
        <v>1</v>
      </c>
      <c r="Q919">
        <f t="shared" si="44"/>
        <v>2025</v>
      </c>
    </row>
    <row r="920" spans="1:17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42"/>
        <v>24</v>
      </c>
      <c r="P920">
        <f t="shared" si="43"/>
        <v>6</v>
      </c>
      <c r="Q920">
        <f t="shared" si="44"/>
        <v>2025</v>
      </c>
    </row>
    <row r="921" spans="1:17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42"/>
        <v>7</v>
      </c>
      <c r="P921">
        <f t="shared" si="43"/>
        <v>2</v>
      </c>
      <c r="Q921">
        <f t="shared" si="44"/>
        <v>2025</v>
      </c>
    </row>
    <row r="922" spans="1:17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42"/>
        <v>12</v>
      </c>
      <c r="P922">
        <f t="shared" si="43"/>
        <v>3</v>
      </c>
      <c r="Q922">
        <f t="shared" si="44"/>
        <v>2025</v>
      </c>
    </row>
    <row r="923" spans="1:17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42"/>
        <v>24</v>
      </c>
      <c r="P923">
        <f t="shared" si="43"/>
        <v>7</v>
      </c>
      <c r="Q923">
        <f t="shared" si="44"/>
        <v>2023</v>
      </c>
    </row>
    <row r="924" spans="1:17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42"/>
        <v>17</v>
      </c>
      <c r="P924">
        <f t="shared" si="43"/>
        <v>6</v>
      </c>
      <c r="Q924">
        <f t="shared" si="44"/>
        <v>2024</v>
      </c>
    </row>
    <row r="925" spans="1:17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42"/>
        <v>11</v>
      </c>
      <c r="P925">
        <f t="shared" si="43"/>
        <v>2</v>
      </c>
      <c r="Q925">
        <f t="shared" si="44"/>
        <v>2023</v>
      </c>
    </row>
    <row r="926" spans="1:17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42"/>
        <v>22</v>
      </c>
      <c r="P926">
        <f t="shared" si="43"/>
        <v>3</v>
      </c>
      <c r="Q926">
        <f t="shared" si="44"/>
        <v>2025</v>
      </c>
    </row>
    <row r="927" spans="1:17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42"/>
        <v>20</v>
      </c>
      <c r="P927">
        <f t="shared" si="43"/>
        <v>12</v>
      </c>
      <c r="Q927">
        <f t="shared" si="44"/>
        <v>2024</v>
      </c>
    </row>
    <row r="928" spans="1:17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42"/>
        <v>20</v>
      </c>
      <c r="P928">
        <f t="shared" si="43"/>
        <v>3</v>
      </c>
      <c r="Q928">
        <f t="shared" si="44"/>
        <v>2024</v>
      </c>
    </row>
    <row r="929" spans="1:17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42"/>
        <v>14</v>
      </c>
      <c r="P929">
        <f t="shared" si="43"/>
        <v>2</v>
      </c>
      <c r="Q929">
        <f t="shared" si="44"/>
        <v>2023</v>
      </c>
    </row>
    <row r="930" spans="1:17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42"/>
        <v>9</v>
      </c>
      <c r="P930">
        <f t="shared" si="43"/>
        <v>5</v>
      </c>
      <c r="Q930">
        <f t="shared" si="44"/>
        <v>2024</v>
      </c>
    </row>
    <row r="931" spans="1:17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42"/>
        <v>16</v>
      </c>
      <c r="P931">
        <f t="shared" si="43"/>
        <v>10</v>
      </c>
      <c r="Q931">
        <f t="shared" si="44"/>
        <v>2024</v>
      </c>
    </row>
    <row r="932" spans="1:17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42"/>
        <v>16</v>
      </c>
      <c r="P932">
        <f t="shared" si="43"/>
        <v>12</v>
      </c>
      <c r="Q932">
        <f t="shared" si="44"/>
        <v>2024</v>
      </c>
    </row>
    <row r="933" spans="1:17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42"/>
        <v>1</v>
      </c>
      <c r="P933">
        <f t="shared" si="43"/>
        <v>1</v>
      </c>
      <c r="Q933">
        <f t="shared" si="44"/>
        <v>2024</v>
      </c>
    </row>
    <row r="934" spans="1:17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42"/>
        <v>26</v>
      </c>
      <c r="P934">
        <f t="shared" si="43"/>
        <v>3</v>
      </c>
      <c r="Q934">
        <f t="shared" si="44"/>
        <v>2023</v>
      </c>
    </row>
    <row r="935" spans="1:17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42"/>
        <v>26</v>
      </c>
      <c r="P935">
        <f t="shared" si="43"/>
        <v>1</v>
      </c>
      <c r="Q935">
        <f t="shared" si="44"/>
        <v>2023</v>
      </c>
    </row>
    <row r="936" spans="1:17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42"/>
        <v>1</v>
      </c>
      <c r="P936">
        <f t="shared" si="43"/>
        <v>6</v>
      </c>
      <c r="Q936">
        <f t="shared" si="44"/>
        <v>2025</v>
      </c>
    </row>
    <row r="937" spans="1:17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42"/>
        <v>24</v>
      </c>
      <c r="P937">
        <f t="shared" si="43"/>
        <v>11</v>
      </c>
      <c r="Q937">
        <f t="shared" si="44"/>
        <v>2023</v>
      </c>
    </row>
    <row r="938" spans="1:17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42"/>
        <v>12</v>
      </c>
      <c r="P938">
        <f t="shared" si="43"/>
        <v>1</v>
      </c>
      <c r="Q938">
        <f t="shared" si="44"/>
        <v>2024</v>
      </c>
    </row>
    <row r="939" spans="1:17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42"/>
        <v>16</v>
      </c>
      <c r="P939">
        <f t="shared" si="43"/>
        <v>1</v>
      </c>
      <c r="Q939">
        <f t="shared" si="44"/>
        <v>2024</v>
      </c>
    </row>
    <row r="940" spans="1:17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994.38</v>
      </c>
      <c r="O940">
        <f t="shared" si="42"/>
        <v>12</v>
      </c>
      <c r="P940">
        <f t="shared" si="43"/>
        <v>7</v>
      </c>
      <c r="Q940">
        <f t="shared" si="44"/>
        <v>2023</v>
      </c>
    </row>
    <row r="941" spans="1:17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42"/>
        <v>16</v>
      </c>
      <c r="P941">
        <f t="shared" si="43"/>
        <v>4</v>
      </c>
      <c r="Q941">
        <f t="shared" si="44"/>
        <v>2025</v>
      </c>
    </row>
    <row r="942" spans="1:17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42"/>
        <v>27</v>
      </c>
      <c r="P942">
        <f t="shared" si="43"/>
        <v>3</v>
      </c>
      <c r="Q942">
        <f t="shared" si="44"/>
        <v>2023</v>
      </c>
    </row>
    <row r="943" spans="1:17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42"/>
        <v>17</v>
      </c>
      <c r="P943">
        <f t="shared" si="43"/>
        <v>7</v>
      </c>
      <c r="Q943">
        <f t="shared" si="44"/>
        <v>2023</v>
      </c>
    </row>
    <row r="944" spans="1:17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42"/>
        <v>29</v>
      </c>
      <c r="P944">
        <f t="shared" si="43"/>
        <v>9</v>
      </c>
      <c r="Q944">
        <f t="shared" si="44"/>
        <v>2023</v>
      </c>
    </row>
    <row r="945" spans="1:17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42"/>
        <v>27</v>
      </c>
      <c r="P945">
        <f t="shared" si="43"/>
        <v>12</v>
      </c>
      <c r="Q945">
        <f t="shared" si="44"/>
        <v>2023</v>
      </c>
    </row>
    <row r="946" spans="1:17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42"/>
        <v>16</v>
      </c>
      <c r="P946">
        <f t="shared" si="43"/>
        <v>12</v>
      </c>
      <c r="Q946">
        <f t="shared" si="44"/>
        <v>2024</v>
      </c>
    </row>
    <row r="947" spans="1:17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42"/>
        <v>20</v>
      </c>
      <c r="P947">
        <f t="shared" si="43"/>
        <v>8</v>
      </c>
      <c r="Q947">
        <f t="shared" si="44"/>
        <v>2023</v>
      </c>
    </row>
    <row r="948" spans="1:17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42"/>
        <v>4</v>
      </c>
      <c r="P948">
        <f t="shared" si="43"/>
        <v>5</v>
      </c>
      <c r="Q948">
        <f t="shared" si="44"/>
        <v>2024</v>
      </c>
    </row>
    <row r="949" spans="1:17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42"/>
        <v>7</v>
      </c>
      <c r="P949">
        <f t="shared" si="43"/>
        <v>9</v>
      </c>
      <c r="Q949">
        <f t="shared" si="44"/>
        <v>2023</v>
      </c>
    </row>
    <row r="950" spans="1:17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42"/>
        <v>21</v>
      </c>
      <c r="P950">
        <f t="shared" si="43"/>
        <v>6</v>
      </c>
      <c r="Q950">
        <f t="shared" si="44"/>
        <v>2024</v>
      </c>
    </row>
    <row r="951" spans="1:17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42"/>
        <v>9</v>
      </c>
      <c r="P951">
        <f t="shared" si="43"/>
        <v>11</v>
      </c>
      <c r="Q951">
        <f t="shared" si="44"/>
        <v>2023</v>
      </c>
    </row>
    <row r="952" spans="1:17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42"/>
        <v>31</v>
      </c>
      <c r="P952">
        <f t="shared" si="43"/>
        <v>5</v>
      </c>
      <c r="Q952">
        <f t="shared" si="44"/>
        <v>2024</v>
      </c>
    </row>
    <row r="953" spans="1:17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42"/>
        <v>22</v>
      </c>
      <c r="P953">
        <f t="shared" si="43"/>
        <v>7</v>
      </c>
      <c r="Q953">
        <f t="shared" si="44"/>
        <v>2024</v>
      </c>
    </row>
    <row r="954" spans="1:17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42"/>
        <v>27</v>
      </c>
      <c r="P954">
        <f t="shared" si="43"/>
        <v>2</v>
      </c>
      <c r="Q954">
        <f t="shared" si="44"/>
        <v>2025</v>
      </c>
    </row>
    <row r="955" spans="1:17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42"/>
        <v>6</v>
      </c>
      <c r="P955">
        <f t="shared" si="43"/>
        <v>2</v>
      </c>
      <c r="Q955">
        <f t="shared" si="44"/>
        <v>2023</v>
      </c>
    </row>
    <row r="956" spans="1:17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42"/>
        <v>22</v>
      </c>
      <c r="P956">
        <f t="shared" si="43"/>
        <v>10</v>
      </c>
      <c r="Q956">
        <f t="shared" si="44"/>
        <v>2024</v>
      </c>
    </row>
    <row r="957" spans="1:17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42"/>
        <v>23</v>
      </c>
      <c r="P957">
        <f t="shared" si="43"/>
        <v>1</v>
      </c>
      <c r="Q957">
        <f t="shared" si="44"/>
        <v>2023</v>
      </c>
    </row>
    <row r="958" spans="1:17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42"/>
        <v>11</v>
      </c>
      <c r="P958">
        <f t="shared" si="43"/>
        <v>4</v>
      </c>
      <c r="Q958">
        <f t="shared" si="44"/>
        <v>2024</v>
      </c>
    </row>
    <row r="959" spans="1:17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42"/>
        <v>12</v>
      </c>
      <c r="P959">
        <f t="shared" si="43"/>
        <v>1</v>
      </c>
      <c r="Q959">
        <f t="shared" si="44"/>
        <v>2023</v>
      </c>
    </row>
    <row r="960" spans="1:17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42"/>
        <v>13</v>
      </c>
      <c r="P960">
        <f t="shared" si="43"/>
        <v>5</v>
      </c>
      <c r="Q960">
        <f t="shared" si="44"/>
        <v>2023</v>
      </c>
    </row>
    <row r="961" spans="1:17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42"/>
        <v>13</v>
      </c>
      <c r="P961">
        <f t="shared" si="43"/>
        <v>4</v>
      </c>
      <c r="Q961">
        <f t="shared" si="44"/>
        <v>2024</v>
      </c>
    </row>
    <row r="962" spans="1:17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ref="O962:O1025" si="45">DAY(B962)</f>
        <v>11</v>
      </c>
      <c r="P962">
        <f t="shared" ref="P962:P1025" si="46">MONTH(B962)</f>
        <v>12</v>
      </c>
      <c r="Q962">
        <f t="shared" ref="Q962:Q1025" si="47">YEAR(B962)</f>
        <v>2023</v>
      </c>
    </row>
    <row r="963" spans="1:17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si="45"/>
        <v>11</v>
      </c>
      <c r="P963">
        <f t="shared" si="46"/>
        <v>11</v>
      </c>
      <c r="Q963">
        <f t="shared" si="47"/>
        <v>2024</v>
      </c>
    </row>
    <row r="964" spans="1:17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45"/>
        <v>6</v>
      </c>
      <c r="P964">
        <f t="shared" si="46"/>
        <v>9</v>
      </c>
      <c r="Q964">
        <f t="shared" si="47"/>
        <v>2024</v>
      </c>
    </row>
    <row r="965" spans="1:17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45"/>
        <v>11</v>
      </c>
      <c r="P965">
        <f t="shared" si="46"/>
        <v>3</v>
      </c>
      <c r="Q965">
        <f t="shared" si="47"/>
        <v>2024</v>
      </c>
    </row>
    <row r="966" spans="1:17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45"/>
        <v>20</v>
      </c>
      <c r="P966">
        <f t="shared" si="46"/>
        <v>8</v>
      </c>
      <c r="Q966">
        <f t="shared" si="47"/>
        <v>2023</v>
      </c>
    </row>
    <row r="967" spans="1:17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45"/>
        <v>18</v>
      </c>
      <c r="P967">
        <f t="shared" si="46"/>
        <v>6</v>
      </c>
      <c r="Q967">
        <f t="shared" si="47"/>
        <v>2025</v>
      </c>
    </row>
    <row r="968" spans="1:17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45"/>
        <v>20</v>
      </c>
      <c r="P968">
        <f t="shared" si="46"/>
        <v>5</v>
      </c>
      <c r="Q968">
        <f t="shared" si="47"/>
        <v>2025</v>
      </c>
    </row>
    <row r="969" spans="1:17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45"/>
        <v>6</v>
      </c>
      <c r="P969">
        <f t="shared" si="46"/>
        <v>5</v>
      </c>
      <c r="Q969">
        <f t="shared" si="47"/>
        <v>2025</v>
      </c>
    </row>
    <row r="970" spans="1:17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45"/>
        <v>8</v>
      </c>
      <c r="P970">
        <f t="shared" si="46"/>
        <v>2</v>
      </c>
      <c r="Q970">
        <f t="shared" si="47"/>
        <v>2024</v>
      </c>
    </row>
    <row r="971" spans="1:17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45"/>
        <v>5</v>
      </c>
      <c r="P971">
        <f t="shared" si="46"/>
        <v>6</v>
      </c>
      <c r="Q971">
        <f t="shared" si="47"/>
        <v>2025</v>
      </c>
    </row>
    <row r="972" spans="1:17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45"/>
        <v>7</v>
      </c>
      <c r="P972">
        <f t="shared" si="46"/>
        <v>9</v>
      </c>
      <c r="Q972">
        <f t="shared" si="47"/>
        <v>2024</v>
      </c>
    </row>
    <row r="973" spans="1:17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45"/>
        <v>27</v>
      </c>
      <c r="P973">
        <f t="shared" si="46"/>
        <v>5</v>
      </c>
      <c r="Q973">
        <f t="shared" si="47"/>
        <v>2024</v>
      </c>
    </row>
    <row r="974" spans="1:17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45"/>
        <v>9</v>
      </c>
      <c r="P974">
        <f t="shared" si="46"/>
        <v>6</v>
      </c>
      <c r="Q974">
        <f t="shared" si="47"/>
        <v>2024</v>
      </c>
    </row>
    <row r="975" spans="1:17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45"/>
        <v>9</v>
      </c>
      <c r="P975">
        <f t="shared" si="46"/>
        <v>6</v>
      </c>
      <c r="Q975">
        <f t="shared" si="47"/>
        <v>2025</v>
      </c>
    </row>
    <row r="976" spans="1:17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45"/>
        <v>27</v>
      </c>
      <c r="P976">
        <f t="shared" si="46"/>
        <v>9</v>
      </c>
      <c r="Q976">
        <f t="shared" si="47"/>
        <v>2023</v>
      </c>
    </row>
    <row r="977" spans="1:17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45"/>
        <v>18</v>
      </c>
      <c r="P977">
        <f t="shared" si="46"/>
        <v>5</v>
      </c>
      <c r="Q977">
        <f t="shared" si="47"/>
        <v>2023</v>
      </c>
    </row>
    <row r="978" spans="1:17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45"/>
        <v>4</v>
      </c>
      <c r="P978">
        <f t="shared" si="46"/>
        <v>4</v>
      </c>
      <c r="Q978">
        <f t="shared" si="47"/>
        <v>2024</v>
      </c>
    </row>
    <row r="979" spans="1:17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45"/>
        <v>28</v>
      </c>
      <c r="P979">
        <f t="shared" si="46"/>
        <v>1</v>
      </c>
      <c r="Q979">
        <f t="shared" si="47"/>
        <v>2023</v>
      </c>
    </row>
    <row r="980" spans="1:17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45"/>
        <v>25</v>
      </c>
      <c r="P980">
        <f t="shared" si="46"/>
        <v>6</v>
      </c>
      <c r="Q980">
        <f t="shared" si="47"/>
        <v>2024</v>
      </c>
    </row>
    <row r="981" spans="1:17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45"/>
        <v>31</v>
      </c>
      <c r="P981">
        <f t="shared" si="46"/>
        <v>5</v>
      </c>
      <c r="Q981">
        <f t="shared" si="47"/>
        <v>2023</v>
      </c>
    </row>
    <row r="982" spans="1:17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45"/>
        <v>14</v>
      </c>
      <c r="P982">
        <f t="shared" si="46"/>
        <v>10</v>
      </c>
      <c r="Q982">
        <f t="shared" si="47"/>
        <v>2023</v>
      </c>
    </row>
    <row r="983" spans="1:17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45"/>
        <v>26</v>
      </c>
      <c r="P983">
        <f t="shared" si="46"/>
        <v>11</v>
      </c>
      <c r="Q983">
        <f t="shared" si="47"/>
        <v>2023</v>
      </c>
    </row>
    <row r="984" spans="1:17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45"/>
        <v>6</v>
      </c>
      <c r="P984">
        <f t="shared" si="46"/>
        <v>9</v>
      </c>
      <c r="Q984">
        <f t="shared" si="47"/>
        <v>2024</v>
      </c>
    </row>
    <row r="985" spans="1:17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45"/>
        <v>24</v>
      </c>
      <c r="P985">
        <f t="shared" si="46"/>
        <v>11</v>
      </c>
      <c r="Q985">
        <f t="shared" si="47"/>
        <v>2024</v>
      </c>
    </row>
    <row r="986" spans="1:17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45"/>
        <v>28</v>
      </c>
      <c r="P986">
        <f t="shared" si="46"/>
        <v>2</v>
      </c>
      <c r="Q986">
        <f t="shared" si="47"/>
        <v>2025</v>
      </c>
    </row>
    <row r="987" spans="1:17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45"/>
        <v>20</v>
      </c>
      <c r="P987">
        <f t="shared" si="46"/>
        <v>7</v>
      </c>
      <c r="Q987">
        <f t="shared" si="47"/>
        <v>2024</v>
      </c>
    </row>
    <row r="988" spans="1:17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45"/>
        <v>7</v>
      </c>
      <c r="P988">
        <f t="shared" si="46"/>
        <v>9</v>
      </c>
      <c r="Q988">
        <f t="shared" si="47"/>
        <v>2024</v>
      </c>
    </row>
    <row r="989" spans="1:17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45"/>
        <v>5</v>
      </c>
      <c r="P989">
        <f t="shared" si="46"/>
        <v>6</v>
      </c>
      <c r="Q989">
        <f t="shared" si="47"/>
        <v>2025</v>
      </c>
    </row>
    <row r="990" spans="1:17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45"/>
        <v>4</v>
      </c>
      <c r="P990">
        <f t="shared" si="46"/>
        <v>2</v>
      </c>
      <c r="Q990">
        <f t="shared" si="47"/>
        <v>2025</v>
      </c>
    </row>
    <row r="991" spans="1:17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45"/>
        <v>23</v>
      </c>
      <c r="P991">
        <f t="shared" si="46"/>
        <v>3</v>
      </c>
      <c r="Q991">
        <f t="shared" si="47"/>
        <v>2023</v>
      </c>
    </row>
    <row r="992" spans="1:17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45"/>
        <v>19</v>
      </c>
      <c r="P992">
        <f t="shared" si="46"/>
        <v>11</v>
      </c>
      <c r="Q992">
        <f t="shared" si="47"/>
        <v>2023</v>
      </c>
    </row>
    <row r="993" spans="1:17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</v>
      </c>
      <c r="O993">
        <f t="shared" si="45"/>
        <v>9</v>
      </c>
      <c r="P993">
        <f t="shared" si="46"/>
        <v>5</v>
      </c>
      <c r="Q993">
        <f t="shared" si="47"/>
        <v>2024</v>
      </c>
    </row>
    <row r="994" spans="1:17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45"/>
        <v>27</v>
      </c>
      <c r="P994">
        <f t="shared" si="46"/>
        <v>8</v>
      </c>
      <c r="Q994">
        <f t="shared" si="47"/>
        <v>2024</v>
      </c>
    </row>
    <row r="995" spans="1:17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802.35</v>
      </c>
      <c r="O995">
        <f t="shared" si="45"/>
        <v>6</v>
      </c>
      <c r="P995">
        <f t="shared" si="46"/>
        <v>4</v>
      </c>
      <c r="Q995">
        <f t="shared" si="47"/>
        <v>2024</v>
      </c>
    </row>
    <row r="996" spans="1:17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45"/>
        <v>27</v>
      </c>
      <c r="P996">
        <f t="shared" si="46"/>
        <v>6</v>
      </c>
      <c r="Q996">
        <f t="shared" si="47"/>
        <v>2024</v>
      </c>
    </row>
    <row r="997" spans="1:17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45"/>
        <v>18</v>
      </c>
      <c r="P997">
        <f t="shared" si="46"/>
        <v>11</v>
      </c>
      <c r="Q997">
        <f t="shared" si="47"/>
        <v>2023</v>
      </c>
    </row>
    <row r="998" spans="1:17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45"/>
        <v>28</v>
      </c>
      <c r="P998">
        <f t="shared" si="46"/>
        <v>4</v>
      </c>
      <c r="Q998">
        <f t="shared" si="47"/>
        <v>2024</v>
      </c>
    </row>
    <row r="999" spans="1:17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45"/>
        <v>27</v>
      </c>
      <c r="P999">
        <f t="shared" si="46"/>
        <v>11</v>
      </c>
      <c r="Q999">
        <f t="shared" si="47"/>
        <v>2023</v>
      </c>
    </row>
    <row r="1000" spans="1:17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45"/>
        <v>19</v>
      </c>
      <c r="P1000">
        <f t="shared" si="46"/>
        <v>5</v>
      </c>
      <c r="Q1000">
        <f t="shared" si="47"/>
        <v>2023</v>
      </c>
    </row>
    <row r="1001" spans="1:17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45"/>
        <v>24</v>
      </c>
      <c r="P1001">
        <f t="shared" si="46"/>
        <v>12</v>
      </c>
      <c r="Q1001">
        <f t="shared" si="47"/>
        <v>2023</v>
      </c>
    </row>
    <row r="1002" spans="1:17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45"/>
        <v>21</v>
      </c>
      <c r="P1002">
        <f t="shared" si="46"/>
        <v>6</v>
      </c>
      <c r="Q1002">
        <f t="shared" si="47"/>
        <v>2023</v>
      </c>
    </row>
    <row r="1003" spans="1:17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45"/>
        <v>8</v>
      </c>
      <c r="P1003">
        <f t="shared" si="46"/>
        <v>12</v>
      </c>
      <c r="Q1003">
        <f t="shared" si="47"/>
        <v>2023</v>
      </c>
    </row>
    <row r="1004" spans="1:17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45"/>
        <v>19</v>
      </c>
      <c r="P1004">
        <f t="shared" si="46"/>
        <v>6</v>
      </c>
      <c r="Q1004">
        <f t="shared" si="47"/>
        <v>2025</v>
      </c>
    </row>
    <row r="1005" spans="1:17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45"/>
        <v>11</v>
      </c>
      <c r="P1005">
        <f t="shared" si="46"/>
        <v>1</v>
      </c>
      <c r="Q1005">
        <f t="shared" si="47"/>
        <v>2023</v>
      </c>
    </row>
    <row r="1006" spans="1:17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45"/>
        <v>9</v>
      </c>
      <c r="P1006">
        <f t="shared" si="46"/>
        <v>6</v>
      </c>
      <c r="Q1006">
        <f t="shared" si="47"/>
        <v>2025</v>
      </c>
    </row>
    <row r="1007" spans="1:17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45"/>
        <v>2</v>
      </c>
      <c r="P1007">
        <f t="shared" si="46"/>
        <v>3</v>
      </c>
      <c r="Q1007">
        <f t="shared" si="47"/>
        <v>2023</v>
      </c>
    </row>
    <row r="1008" spans="1:17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45"/>
        <v>27</v>
      </c>
      <c r="P1008">
        <f t="shared" si="46"/>
        <v>5</v>
      </c>
      <c r="Q1008">
        <f t="shared" si="47"/>
        <v>2024</v>
      </c>
    </row>
    <row r="1009" spans="1:17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45"/>
        <v>20</v>
      </c>
      <c r="P1009">
        <f t="shared" si="46"/>
        <v>3</v>
      </c>
      <c r="Q1009">
        <f t="shared" si="47"/>
        <v>2024</v>
      </c>
    </row>
    <row r="1010" spans="1:17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45"/>
        <v>13</v>
      </c>
      <c r="P1010">
        <f t="shared" si="46"/>
        <v>1</v>
      </c>
      <c r="Q1010">
        <f t="shared" si="47"/>
        <v>2023</v>
      </c>
    </row>
    <row r="1011" spans="1:17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45"/>
        <v>2</v>
      </c>
      <c r="P1011">
        <f t="shared" si="46"/>
        <v>9</v>
      </c>
      <c r="Q1011">
        <f t="shared" si="47"/>
        <v>2023</v>
      </c>
    </row>
    <row r="1012" spans="1:17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45"/>
        <v>31</v>
      </c>
      <c r="P1012">
        <f t="shared" si="46"/>
        <v>3</v>
      </c>
      <c r="Q1012">
        <f t="shared" si="47"/>
        <v>2023</v>
      </c>
    </row>
    <row r="1013" spans="1:17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45"/>
        <v>3</v>
      </c>
      <c r="P1013">
        <f t="shared" si="46"/>
        <v>12</v>
      </c>
      <c r="Q1013">
        <f t="shared" si="47"/>
        <v>2024</v>
      </c>
    </row>
    <row r="1014" spans="1:17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45"/>
        <v>3</v>
      </c>
      <c r="P1014">
        <f t="shared" si="46"/>
        <v>12</v>
      </c>
      <c r="Q1014">
        <f t="shared" si="47"/>
        <v>2024</v>
      </c>
    </row>
    <row r="1015" spans="1:17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45"/>
        <v>26</v>
      </c>
      <c r="P1015">
        <f t="shared" si="46"/>
        <v>4</v>
      </c>
      <c r="Q1015">
        <f t="shared" si="47"/>
        <v>2025</v>
      </c>
    </row>
    <row r="1016" spans="1:17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45"/>
        <v>4</v>
      </c>
      <c r="P1016">
        <f t="shared" si="46"/>
        <v>2</v>
      </c>
      <c r="Q1016">
        <f t="shared" si="47"/>
        <v>2024</v>
      </c>
    </row>
    <row r="1017" spans="1:17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45"/>
        <v>26</v>
      </c>
      <c r="P1017">
        <f t="shared" si="46"/>
        <v>1</v>
      </c>
      <c r="Q1017">
        <f t="shared" si="47"/>
        <v>2024</v>
      </c>
    </row>
    <row r="1018" spans="1:17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45"/>
        <v>29</v>
      </c>
      <c r="P1018">
        <f t="shared" si="46"/>
        <v>12</v>
      </c>
      <c r="Q1018">
        <f t="shared" si="47"/>
        <v>2023</v>
      </c>
    </row>
    <row r="1019" spans="1:17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45"/>
        <v>25</v>
      </c>
      <c r="P1019">
        <f t="shared" si="46"/>
        <v>8</v>
      </c>
      <c r="Q1019">
        <f t="shared" si="47"/>
        <v>2024</v>
      </c>
    </row>
    <row r="1020" spans="1:17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547.44000000000005</v>
      </c>
      <c r="O1020">
        <f t="shared" si="45"/>
        <v>8</v>
      </c>
      <c r="P1020">
        <f t="shared" si="46"/>
        <v>7</v>
      </c>
      <c r="Q1020">
        <f t="shared" si="47"/>
        <v>2023</v>
      </c>
    </row>
    <row r="1021" spans="1:17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45"/>
        <v>6</v>
      </c>
      <c r="P1021">
        <f t="shared" si="46"/>
        <v>4</v>
      </c>
      <c r="Q1021">
        <f t="shared" si="47"/>
        <v>2024</v>
      </c>
    </row>
    <row r="1022" spans="1:17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45"/>
        <v>22</v>
      </c>
      <c r="P1022">
        <f t="shared" si="46"/>
        <v>4</v>
      </c>
      <c r="Q1022">
        <f t="shared" si="47"/>
        <v>2024</v>
      </c>
    </row>
    <row r="1023" spans="1:17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45"/>
        <v>23</v>
      </c>
      <c r="P1023">
        <f t="shared" si="46"/>
        <v>10</v>
      </c>
      <c r="Q1023">
        <f t="shared" si="47"/>
        <v>2023</v>
      </c>
    </row>
    <row r="1024" spans="1:17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45"/>
        <v>24</v>
      </c>
      <c r="P1024">
        <f t="shared" si="46"/>
        <v>2</v>
      </c>
      <c r="Q1024">
        <f t="shared" si="47"/>
        <v>2025</v>
      </c>
    </row>
    <row r="1025" spans="1:17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45"/>
        <v>23</v>
      </c>
      <c r="P1025">
        <f t="shared" si="46"/>
        <v>9</v>
      </c>
      <c r="Q1025">
        <f t="shared" si="47"/>
        <v>2024</v>
      </c>
    </row>
    <row r="1026" spans="1:17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ref="O1026:O1089" si="48">DAY(B1026)</f>
        <v>29</v>
      </c>
      <c r="P1026">
        <f t="shared" ref="P1026:P1089" si="49">MONTH(B1026)</f>
        <v>1</v>
      </c>
      <c r="Q1026">
        <f t="shared" ref="Q1026:Q1089" si="50">YEAR(B1026)</f>
        <v>2024</v>
      </c>
    </row>
    <row r="1027" spans="1:17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si="48"/>
        <v>17</v>
      </c>
      <c r="P1027">
        <f t="shared" si="49"/>
        <v>5</v>
      </c>
      <c r="Q1027">
        <f t="shared" si="50"/>
        <v>2025</v>
      </c>
    </row>
    <row r="1028" spans="1:17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48"/>
        <v>1</v>
      </c>
      <c r="P1028">
        <f t="shared" si="49"/>
        <v>5</v>
      </c>
      <c r="Q1028">
        <f t="shared" si="50"/>
        <v>2023</v>
      </c>
    </row>
    <row r="1029" spans="1:17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48"/>
        <v>21</v>
      </c>
      <c r="P1029">
        <f t="shared" si="49"/>
        <v>5</v>
      </c>
      <c r="Q1029">
        <f t="shared" si="50"/>
        <v>2024</v>
      </c>
    </row>
    <row r="1030" spans="1:17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48"/>
        <v>17</v>
      </c>
      <c r="P1030">
        <f t="shared" si="49"/>
        <v>2</v>
      </c>
      <c r="Q1030">
        <f t="shared" si="50"/>
        <v>2023</v>
      </c>
    </row>
    <row r="1031" spans="1:17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48"/>
        <v>1</v>
      </c>
      <c r="P1031">
        <f t="shared" si="49"/>
        <v>3</v>
      </c>
      <c r="Q1031">
        <f t="shared" si="50"/>
        <v>2025</v>
      </c>
    </row>
    <row r="1032" spans="1:17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48"/>
        <v>2</v>
      </c>
      <c r="P1032">
        <f t="shared" si="49"/>
        <v>10</v>
      </c>
      <c r="Q1032">
        <f t="shared" si="50"/>
        <v>2023</v>
      </c>
    </row>
    <row r="1033" spans="1:17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48"/>
        <v>28</v>
      </c>
      <c r="P1033">
        <f t="shared" si="49"/>
        <v>2</v>
      </c>
      <c r="Q1033">
        <f t="shared" si="50"/>
        <v>2023</v>
      </c>
    </row>
    <row r="1034" spans="1:17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48"/>
        <v>20</v>
      </c>
      <c r="P1034">
        <f t="shared" si="49"/>
        <v>4</v>
      </c>
      <c r="Q1034">
        <f t="shared" si="50"/>
        <v>2023</v>
      </c>
    </row>
    <row r="1035" spans="1:17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48"/>
        <v>24</v>
      </c>
      <c r="P1035">
        <f t="shared" si="49"/>
        <v>12</v>
      </c>
      <c r="Q1035">
        <f t="shared" si="50"/>
        <v>2024</v>
      </c>
    </row>
    <row r="1036" spans="1:17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48"/>
        <v>16</v>
      </c>
      <c r="P1036">
        <f t="shared" si="49"/>
        <v>6</v>
      </c>
      <c r="Q1036">
        <f t="shared" si="50"/>
        <v>2024</v>
      </c>
    </row>
    <row r="1037" spans="1:17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48"/>
        <v>12</v>
      </c>
      <c r="P1037">
        <f t="shared" si="49"/>
        <v>11</v>
      </c>
      <c r="Q1037">
        <f t="shared" si="50"/>
        <v>2023</v>
      </c>
    </row>
    <row r="1038" spans="1:17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48"/>
        <v>31</v>
      </c>
      <c r="P1038">
        <f t="shared" si="49"/>
        <v>5</v>
      </c>
      <c r="Q1038">
        <f t="shared" si="50"/>
        <v>2024</v>
      </c>
    </row>
    <row r="1039" spans="1:17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48"/>
        <v>13</v>
      </c>
      <c r="P1039">
        <f t="shared" si="49"/>
        <v>12</v>
      </c>
      <c r="Q1039">
        <f t="shared" si="50"/>
        <v>2023</v>
      </c>
    </row>
    <row r="1040" spans="1:17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48"/>
        <v>15</v>
      </c>
      <c r="P1040">
        <f t="shared" si="49"/>
        <v>3</v>
      </c>
      <c r="Q1040">
        <f t="shared" si="50"/>
        <v>2025</v>
      </c>
    </row>
    <row r="1041" spans="1:17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48"/>
        <v>28</v>
      </c>
      <c r="P1041">
        <f t="shared" si="49"/>
        <v>6</v>
      </c>
      <c r="Q1041">
        <f t="shared" si="50"/>
        <v>2025</v>
      </c>
    </row>
    <row r="1042" spans="1:17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48"/>
        <v>15</v>
      </c>
      <c r="P1042">
        <f t="shared" si="49"/>
        <v>11</v>
      </c>
      <c r="Q1042">
        <f t="shared" si="50"/>
        <v>2023</v>
      </c>
    </row>
    <row r="1043" spans="1:17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48"/>
        <v>11</v>
      </c>
      <c r="P1043">
        <f t="shared" si="49"/>
        <v>2</v>
      </c>
      <c r="Q1043">
        <f t="shared" si="50"/>
        <v>2023</v>
      </c>
    </row>
    <row r="1044" spans="1:17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48"/>
        <v>9</v>
      </c>
      <c r="P1044">
        <f t="shared" si="49"/>
        <v>12</v>
      </c>
      <c r="Q1044">
        <f t="shared" si="50"/>
        <v>2024</v>
      </c>
    </row>
    <row r="1045" spans="1:17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48"/>
        <v>11</v>
      </c>
      <c r="P1045">
        <f t="shared" si="49"/>
        <v>1</v>
      </c>
      <c r="Q1045">
        <f t="shared" si="50"/>
        <v>2025</v>
      </c>
    </row>
    <row r="1046" spans="1:17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48"/>
        <v>22</v>
      </c>
      <c r="P1046">
        <f t="shared" si="49"/>
        <v>6</v>
      </c>
      <c r="Q1046">
        <f t="shared" si="50"/>
        <v>2025</v>
      </c>
    </row>
    <row r="1047" spans="1:17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48"/>
        <v>20</v>
      </c>
      <c r="P1047">
        <f t="shared" si="49"/>
        <v>9</v>
      </c>
      <c r="Q1047">
        <f t="shared" si="50"/>
        <v>2024</v>
      </c>
    </row>
    <row r="1048" spans="1:17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48"/>
        <v>7</v>
      </c>
      <c r="P1048">
        <f t="shared" si="49"/>
        <v>10</v>
      </c>
      <c r="Q1048">
        <f t="shared" si="50"/>
        <v>2024</v>
      </c>
    </row>
    <row r="1049" spans="1:17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48"/>
        <v>23</v>
      </c>
      <c r="P1049">
        <f t="shared" si="49"/>
        <v>6</v>
      </c>
      <c r="Q1049">
        <f t="shared" si="50"/>
        <v>2023</v>
      </c>
    </row>
    <row r="1050" spans="1:17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48"/>
        <v>9</v>
      </c>
      <c r="P1050">
        <f t="shared" si="49"/>
        <v>9</v>
      </c>
      <c r="Q1050">
        <f t="shared" si="50"/>
        <v>2024</v>
      </c>
    </row>
    <row r="1051" spans="1:17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48"/>
        <v>18</v>
      </c>
      <c r="P1051">
        <f t="shared" si="49"/>
        <v>7</v>
      </c>
      <c r="Q1051">
        <f t="shared" si="50"/>
        <v>2024</v>
      </c>
    </row>
    <row r="1052" spans="1:17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48"/>
        <v>20</v>
      </c>
      <c r="P1052">
        <f t="shared" si="49"/>
        <v>8</v>
      </c>
      <c r="Q1052">
        <f t="shared" si="50"/>
        <v>2023</v>
      </c>
    </row>
    <row r="1053" spans="1:17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48"/>
        <v>5</v>
      </c>
      <c r="P1053">
        <f t="shared" si="49"/>
        <v>3</v>
      </c>
      <c r="Q1053">
        <f t="shared" si="50"/>
        <v>2025</v>
      </c>
    </row>
    <row r="1054" spans="1:17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48"/>
        <v>11</v>
      </c>
      <c r="P1054">
        <f t="shared" si="49"/>
        <v>9</v>
      </c>
      <c r="Q1054">
        <f t="shared" si="50"/>
        <v>2023</v>
      </c>
    </row>
    <row r="1055" spans="1:17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48"/>
        <v>15</v>
      </c>
      <c r="P1055">
        <f t="shared" si="49"/>
        <v>9</v>
      </c>
      <c r="Q1055">
        <f t="shared" si="50"/>
        <v>2024</v>
      </c>
    </row>
    <row r="1056" spans="1:17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48"/>
        <v>29</v>
      </c>
      <c r="P1056">
        <f t="shared" si="49"/>
        <v>11</v>
      </c>
      <c r="Q1056">
        <f t="shared" si="50"/>
        <v>2023</v>
      </c>
    </row>
    <row r="1057" spans="1:17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48"/>
        <v>23</v>
      </c>
      <c r="P1057">
        <f t="shared" si="49"/>
        <v>10</v>
      </c>
      <c r="Q1057">
        <f t="shared" si="50"/>
        <v>2023</v>
      </c>
    </row>
    <row r="1058" spans="1:17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48"/>
        <v>14</v>
      </c>
      <c r="P1058">
        <f t="shared" si="49"/>
        <v>6</v>
      </c>
      <c r="Q1058">
        <f t="shared" si="50"/>
        <v>2024</v>
      </c>
    </row>
    <row r="1059" spans="1:17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48"/>
        <v>24</v>
      </c>
      <c r="P1059">
        <f t="shared" si="49"/>
        <v>9</v>
      </c>
      <c r="Q1059">
        <f t="shared" si="50"/>
        <v>2024</v>
      </c>
    </row>
    <row r="1060" spans="1:17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48"/>
        <v>8</v>
      </c>
      <c r="P1060">
        <f t="shared" si="49"/>
        <v>9</v>
      </c>
      <c r="Q1060">
        <f t="shared" si="50"/>
        <v>2023</v>
      </c>
    </row>
    <row r="1061" spans="1:17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48"/>
        <v>22</v>
      </c>
      <c r="P1061">
        <f t="shared" si="49"/>
        <v>9</v>
      </c>
      <c r="Q1061">
        <f t="shared" si="50"/>
        <v>2024</v>
      </c>
    </row>
    <row r="1062" spans="1:17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48"/>
        <v>7</v>
      </c>
      <c r="P1062">
        <f t="shared" si="49"/>
        <v>5</v>
      </c>
      <c r="Q1062">
        <f t="shared" si="50"/>
        <v>2024</v>
      </c>
    </row>
    <row r="1063" spans="1:17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48"/>
        <v>29</v>
      </c>
      <c r="P1063">
        <f t="shared" si="49"/>
        <v>1</v>
      </c>
      <c r="Q1063">
        <f t="shared" si="50"/>
        <v>2025</v>
      </c>
    </row>
    <row r="1064" spans="1:17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48"/>
        <v>23</v>
      </c>
      <c r="P1064">
        <f t="shared" si="49"/>
        <v>8</v>
      </c>
      <c r="Q1064">
        <f t="shared" si="50"/>
        <v>2023</v>
      </c>
    </row>
    <row r="1065" spans="1:17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48"/>
        <v>19</v>
      </c>
      <c r="P1065">
        <f t="shared" si="49"/>
        <v>6</v>
      </c>
      <c r="Q1065">
        <f t="shared" si="50"/>
        <v>2024</v>
      </c>
    </row>
    <row r="1066" spans="1:17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48"/>
        <v>12</v>
      </c>
      <c r="P1066">
        <f t="shared" si="49"/>
        <v>2</v>
      </c>
      <c r="Q1066">
        <f t="shared" si="50"/>
        <v>2025</v>
      </c>
    </row>
    <row r="1067" spans="1:17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48"/>
        <v>30</v>
      </c>
      <c r="P1067">
        <f t="shared" si="49"/>
        <v>10</v>
      </c>
      <c r="Q1067">
        <f t="shared" si="50"/>
        <v>2023</v>
      </c>
    </row>
    <row r="1068" spans="1:17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48"/>
        <v>20</v>
      </c>
      <c r="P1068">
        <f t="shared" si="49"/>
        <v>12</v>
      </c>
      <c r="Q1068">
        <f t="shared" si="50"/>
        <v>2023</v>
      </c>
    </row>
    <row r="1069" spans="1:17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48"/>
        <v>6</v>
      </c>
      <c r="P1069">
        <f t="shared" si="49"/>
        <v>6</v>
      </c>
      <c r="Q1069">
        <f t="shared" si="50"/>
        <v>2023</v>
      </c>
    </row>
    <row r="1070" spans="1:17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48"/>
        <v>3</v>
      </c>
      <c r="P1070">
        <f t="shared" si="49"/>
        <v>8</v>
      </c>
      <c r="Q1070">
        <f t="shared" si="50"/>
        <v>2024</v>
      </c>
    </row>
    <row r="1071" spans="1:17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48"/>
        <v>25</v>
      </c>
      <c r="P1071">
        <f t="shared" si="49"/>
        <v>2</v>
      </c>
      <c r="Q1071">
        <f t="shared" si="50"/>
        <v>2023</v>
      </c>
    </row>
    <row r="1072" spans="1:17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48"/>
        <v>6</v>
      </c>
      <c r="P1072">
        <f t="shared" si="49"/>
        <v>9</v>
      </c>
      <c r="Q1072">
        <f t="shared" si="50"/>
        <v>2024</v>
      </c>
    </row>
    <row r="1073" spans="1:17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48"/>
        <v>24</v>
      </c>
      <c r="P1073">
        <f t="shared" si="49"/>
        <v>6</v>
      </c>
      <c r="Q1073">
        <f t="shared" si="50"/>
        <v>2025</v>
      </c>
    </row>
    <row r="1074" spans="1:17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48"/>
        <v>26</v>
      </c>
      <c r="P1074">
        <f t="shared" si="49"/>
        <v>2</v>
      </c>
      <c r="Q1074">
        <f t="shared" si="50"/>
        <v>2023</v>
      </c>
    </row>
    <row r="1075" spans="1:17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48"/>
        <v>11</v>
      </c>
      <c r="P1075">
        <f t="shared" si="49"/>
        <v>10</v>
      </c>
      <c r="Q1075">
        <f t="shared" si="50"/>
        <v>2024</v>
      </c>
    </row>
    <row r="1076" spans="1:17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48"/>
        <v>10</v>
      </c>
      <c r="P1076">
        <f t="shared" si="49"/>
        <v>5</v>
      </c>
      <c r="Q1076">
        <f t="shared" si="50"/>
        <v>2024</v>
      </c>
    </row>
    <row r="1077" spans="1:17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48"/>
        <v>31</v>
      </c>
      <c r="P1077">
        <f t="shared" si="49"/>
        <v>8</v>
      </c>
      <c r="Q1077">
        <f t="shared" si="50"/>
        <v>2024</v>
      </c>
    </row>
    <row r="1078" spans="1:17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48"/>
        <v>8</v>
      </c>
      <c r="P1078">
        <f t="shared" si="49"/>
        <v>5</v>
      </c>
      <c r="Q1078">
        <f t="shared" si="50"/>
        <v>2023</v>
      </c>
    </row>
    <row r="1079" spans="1:17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48"/>
        <v>7</v>
      </c>
      <c r="P1079">
        <f t="shared" si="49"/>
        <v>3</v>
      </c>
      <c r="Q1079">
        <f t="shared" si="50"/>
        <v>2025</v>
      </c>
    </row>
    <row r="1080" spans="1:17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48"/>
        <v>18</v>
      </c>
      <c r="P1080">
        <f t="shared" si="49"/>
        <v>3</v>
      </c>
      <c r="Q1080">
        <f t="shared" si="50"/>
        <v>2023</v>
      </c>
    </row>
    <row r="1081" spans="1:17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48"/>
        <v>20</v>
      </c>
      <c r="P1081">
        <f t="shared" si="49"/>
        <v>6</v>
      </c>
      <c r="Q1081">
        <f t="shared" si="50"/>
        <v>2024</v>
      </c>
    </row>
    <row r="1082" spans="1:17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48"/>
        <v>20</v>
      </c>
      <c r="P1082">
        <f t="shared" si="49"/>
        <v>1</v>
      </c>
      <c r="Q1082">
        <f t="shared" si="50"/>
        <v>2023</v>
      </c>
    </row>
    <row r="1083" spans="1:17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48"/>
        <v>21</v>
      </c>
      <c r="P1083">
        <f t="shared" si="49"/>
        <v>4</v>
      </c>
      <c r="Q1083">
        <f t="shared" si="50"/>
        <v>2023</v>
      </c>
    </row>
    <row r="1084" spans="1:17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48"/>
        <v>6</v>
      </c>
      <c r="P1084">
        <f t="shared" si="49"/>
        <v>10</v>
      </c>
      <c r="Q1084">
        <f t="shared" si="50"/>
        <v>2023</v>
      </c>
    </row>
    <row r="1085" spans="1:17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48"/>
        <v>9</v>
      </c>
      <c r="P1085">
        <f t="shared" si="49"/>
        <v>7</v>
      </c>
      <c r="Q1085">
        <f t="shared" si="50"/>
        <v>2024</v>
      </c>
    </row>
    <row r="1086" spans="1:17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48"/>
        <v>8</v>
      </c>
      <c r="P1086">
        <f t="shared" si="49"/>
        <v>1</v>
      </c>
      <c r="Q1086">
        <f t="shared" si="50"/>
        <v>2023</v>
      </c>
    </row>
    <row r="1087" spans="1:17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48"/>
        <v>21</v>
      </c>
      <c r="P1087">
        <f t="shared" si="49"/>
        <v>5</v>
      </c>
      <c r="Q1087">
        <f t="shared" si="50"/>
        <v>2023</v>
      </c>
    </row>
    <row r="1088" spans="1:17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48"/>
        <v>23</v>
      </c>
      <c r="P1088">
        <f t="shared" si="49"/>
        <v>12</v>
      </c>
      <c r="Q1088">
        <f t="shared" si="50"/>
        <v>2023</v>
      </c>
    </row>
    <row r="1089" spans="1:17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48"/>
        <v>23</v>
      </c>
      <c r="P1089">
        <f t="shared" si="49"/>
        <v>3</v>
      </c>
      <c r="Q1089">
        <f t="shared" si="50"/>
        <v>2025</v>
      </c>
    </row>
    <row r="1090" spans="1:17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ref="O1090:O1153" si="51">DAY(B1090)</f>
        <v>30</v>
      </c>
      <c r="P1090">
        <f t="shared" ref="P1090:P1153" si="52">MONTH(B1090)</f>
        <v>11</v>
      </c>
      <c r="Q1090">
        <f t="shared" ref="Q1090:Q1153" si="53">YEAR(B1090)</f>
        <v>2023</v>
      </c>
    </row>
    <row r="1091" spans="1:17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si="51"/>
        <v>15</v>
      </c>
      <c r="P1091">
        <f t="shared" si="52"/>
        <v>3</v>
      </c>
      <c r="Q1091">
        <f t="shared" si="53"/>
        <v>2025</v>
      </c>
    </row>
    <row r="1092" spans="1:17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51"/>
        <v>25</v>
      </c>
      <c r="P1092">
        <f t="shared" si="52"/>
        <v>2</v>
      </c>
      <c r="Q1092">
        <f t="shared" si="53"/>
        <v>2023</v>
      </c>
    </row>
    <row r="1093" spans="1:17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628.44000000000005</v>
      </c>
      <c r="O1093">
        <f t="shared" si="51"/>
        <v>8</v>
      </c>
      <c r="P1093">
        <f t="shared" si="52"/>
        <v>10</v>
      </c>
      <c r="Q1093">
        <f t="shared" si="53"/>
        <v>2024</v>
      </c>
    </row>
    <row r="1094" spans="1:17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51"/>
        <v>21</v>
      </c>
      <c r="P1094">
        <f t="shared" si="52"/>
        <v>8</v>
      </c>
      <c r="Q1094">
        <f t="shared" si="53"/>
        <v>2023</v>
      </c>
    </row>
    <row r="1095" spans="1:17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51"/>
        <v>9</v>
      </c>
      <c r="P1095">
        <f t="shared" si="52"/>
        <v>6</v>
      </c>
      <c r="Q1095">
        <f t="shared" si="53"/>
        <v>2023</v>
      </c>
    </row>
    <row r="1096" spans="1:17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51"/>
        <v>28</v>
      </c>
      <c r="P1096">
        <f t="shared" si="52"/>
        <v>6</v>
      </c>
      <c r="Q1096">
        <f t="shared" si="53"/>
        <v>2023</v>
      </c>
    </row>
    <row r="1097" spans="1:17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51"/>
        <v>23</v>
      </c>
      <c r="P1097">
        <f t="shared" si="52"/>
        <v>4</v>
      </c>
      <c r="Q1097">
        <f t="shared" si="53"/>
        <v>2024</v>
      </c>
    </row>
    <row r="1098" spans="1:17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51"/>
        <v>3</v>
      </c>
      <c r="P1098">
        <f t="shared" si="52"/>
        <v>5</v>
      </c>
      <c r="Q1098">
        <f t="shared" si="53"/>
        <v>2025</v>
      </c>
    </row>
    <row r="1099" spans="1:17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51"/>
        <v>26</v>
      </c>
      <c r="P1099">
        <f t="shared" si="52"/>
        <v>12</v>
      </c>
      <c r="Q1099">
        <f t="shared" si="53"/>
        <v>2024</v>
      </c>
    </row>
    <row r="1100" spans="1:17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51"/>
        <v>17</v>
      </c>
      <c r="P1100">
        <f t="shared" si="52"/>
        <v>6</v>
      </c>
      <c r="Q1100">
        <f t="shared" si="53"/>
        <v>2023</v>
      </c>
    </row>
    <row r="1101" spans="1:17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51"/>
        <v>19</v>
      </c>
      <c r="P1101">
        <f t="shared" si="52"/>
        <v>9</v>
      </c>
      <c r="Q1101">
        <f t="shared" si="53"/>
        <v>2024</v>
      </c>
    </row>
    <row r="1102" spans="1:17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51"/>
        <v>17</v>
      </c>
      <c r="P1102">
        <f t="shared" si="52"/>
        <v>8</v>
      </c>
      <c r="Q1102">
        <f t="shared" si="53"/>
        <v>2023</v>
      </c>
    </row>
    <row r="1103" spans="1:17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51"/>
        <v>8</v>
      </c>
      <c r="P1103">
        <f t="shared" si="52"/>
        <v>6</v>
      </c>
      <c r="Q1103">
        <f t="shared" si="53"/>
        <v>2025</v>
      </c>
    </row>
    <row r="1104" spans="1:17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51"/>
        <v>3</v>
      </c>
      <c r="P1104">
        <f t="shared" si="52"/>
        <v>6</v>
      </c>
      <c r="Q1104">
        <f t="shared" si="53"/>
        <v>2024</v>
      </c>
    </row>
    <row r="1105" spans="1:17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51"/>
        <v>24</v>
      </c>
      <c r="P1105">
        <f t="shared" si="52"/>
        <v>4</v>
      </c>
      <c r="Q1105">
        <f t="shared" si="53"/>
        <v>2023</v>
      </c>
    </row>
    <row r="1106" spans="1:17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51"/>
        <v>25</v>
      </c>
      <c r="P1106">
        <f t="shared" si="52"/>
        <v>7</v>
      </c>
      <c r="Q1106">
        <f t="shared" si="53"/>
        <v>2024</v>
      </c>
    </row>
    <row r="1107" spans="1:17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51"/>
        <v>8</v>
      </c>
      <c r="P1107">
        <f t="shared" si="52"/>
        <v>1</v>
      </c>
      <c r="Q1107">
        <f t="shared" si="53"/>
        <v>2024</v>
      </c>
    </row>
    <row r="1108" spans="1:17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51"/>
        <v>12</v>
      </c>
      <c r="P1108">
        <f t="shared" si="52"/>
        <v>3</v>
      </c>
      <c r="Q1108">
        <f t="shared" si="53"/>
        <v>2023</v>
      </c>
    </row>
    <row r="1109" spans="1:17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51"/>
        <v>30</v>
      </c>
      <c r="P1109">
        <f t="shared" si="52"/>
        <v>6</v>
      </c>
      <c r="Q1109">
        <f t="shared" si="53"/>
        <v>2025</v>
      </c>
    </row>
    <row r="1110" spans="1:17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51"/>
        <v>20</v>
      </c>
      <c r="P1110">
        <f t="shared" si="52"/>
        <v>3</v>
      </c>
      <c r="Q1110">
        <f t="shared" si="53"/>
        <v>2023</v>
      </c>
    </row>
    <row r="1111" spans="1:17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51"/>
        <v>8</v>
      </c>
      <c r="P1111">
        <f t="shared" si="52"/>
        <v>4</v>
      </c>
      <c r="Q1111">
        <f t="shared" si="53"/>
        <v>2024</v>
      </c>
    </row>
    <row r="1112" spans="1:17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51"/>
        <v>25</v>
      </c>
      <c r="P1112">
        <f t="shared" si="52"/>
        <v>2</v>
      </c>
      <c r="Q1112">
        <f t="shared" si="53"/>
        <v>2024</v>
      </c>
    </row>
    <row r="1113" spans="1:17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51"/>
        <v>6</v>
      </c>
      <c r="P1113">
        <f t="shared" si="52"/>
        <v>5</v>
      </c>
      <c r="Q1113">
        <f t="shared" si="53"/>
        <v>2023</v>
      </c>
    </row>
    <row r="1114" spans="1:17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51"/>
        <v>13</v>
      </c>
      <c r="P1114">
        <f t="shared" si="52"/>
        <v>10</v>
      </c>
      <c r="Q1114">
        <f t="shared" si="53"/>
        <v>2023</v>
      </c>
    </row>
    <row r="1115" spans="1:17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51"/>
        <v>19</v>
      </c>
      <c r="P1115">
        <f t="shared" si="52"/>
        <v>3</v>
      </c>
      <c r="Q1115">
        <f t="shared" si="53"/>
        <v>2023</v>
      </c>
    </row>
    <row r="1116" spans="1:17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51"/>
        <v>16</v>
      </c>
      <c r="P1116">
        <f t="shared" si="52"/>
        <v>3</v>
      </c>
      <c r="Q1116">
        <f t="shared" si="53"/>
        <v>2023</v>
      </c>
    </row>
    <row r="1117" spans="1:17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51"/>
        <v>20</v>
      </c>
      <c r="P1117">
        <f t="shared" si="52"/>
        <v>6</v>
      </c>
      <c r="Q1117">
        <f t="shared" si="53"/>
        <v>2025</v>
      </c>
    </row>
    <row r="1118" spans="1:17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51"/>
        <v>14</v>
      </c>
      <c r="P1118">
        <f t="shared" si="52"/>
        <v>10</v>
      </c>
      <c r="Q1118">
        <f t="shared" si="53"/>
        <v>2023</v>
      </c>
    </row>
    <row r="1119" spans="1:17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51"/>
        <v>20</v>
      </c>
      <c r="P1119">
        <f t="shared" si="52"/>
        <v>5</v>
      </c>
      <c r="Q1119">
        <f t="shared" si="53"/>
        <v>2024</v>
      </c>
    </row>
    <row r="1120" spans="1:17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754.44</v>
      </c>
      <c r="O1120">
        <f t="shared" si="51"/>
        <v>24</v>
      </c>
      <c r="P1120">
        <f t="shared" si="52"/>
        <v>5</v>
      </c>
      <c r="Q1120">
        <f t="shared" si="53"/>
        <v>2024</v>
      </c>
    </row>
    <row r="1121" spans="1:17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51"/>
        <v>24</v>
      </c>
      <c r="P1121">
        <f t="shared" si="52"/>
        <v>11</v>
      </c>
      <c r="Q1121">
        <f t="shared" si="53"/>
        <v>2024</v>
      </c>
    </row>
    <row r="1122" spans="1:17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51"/>
        <v>10</v>
      </c>
      <c r="P1122">
        <f t="shared" si="52"/>
        <v>5</v>
      </c>
      <c r="Q1122">
        <f t="shared" si="53"/>
        <v>2025</v>
      </c>
    </row>
    <row r="1123" spans="1:17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51"/>
        <v>28</v>
      </c>
      <c r="P1123">
        <f t="shared" si="52"/>
        <v>5</v>
      </c>
      <c r="Q1123">
        <f t="shared" si="53"/>
        <v>2023</v>
      </c>
    </row>
    <row r="1124" spans="1:17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51"/>
        <v>7</v>
      </c>
      <c r="P1124">
        <f t="shared" si="52"/>
        <v>6</v>
      </c>
      <c r="Q1124">
        <f t="shared" si="53"/>
        <v>2023</v>
      </c>
    </row>
    <row r="1125" spans="1:17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51"/>
        <v>14</v>
      </c>
      <c r="P1125">
        <f t="shared" si="52"/>
        <v>4</v>
      </c>
      <c r="Q1125">
        <f t="shared" si="53"/>
        <v>2023</v>
      </c>
    </row>
    <row r="1126" spans="1:17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51"/>
        <v>9</v>
      </c>
      <c r="P1126">
        <f t="shared" si="52"/>
        <v>5</v>
      </c>
      <c r="Q1126">
        <f t="shared" si="53"/>
        <v>2023</v>
      </c>
    </row>
    <row r="1127" spans="1:17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51"/>
        <v>16</v>
      </c>
      <c r="P1127">
        <f t="shared" si="52"/>
        <v>10</v>
      </c>
      <c r="Q1127">
        <f t="shared" si="53"/>
        <v>2023</v>
      </c>
    </row>
    <row r="1128" spans="1:17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</v>
      </c>
      <c r="O1128">
        <f t="shared" si="51"/>
        <v>22</v>
      </c>
      <c r="P1128">
        <f t="shared" si="52"/>
        <v>7</v>
      </c>
      <c r="Q1128">
        <f t="shared" si="53"/>
        <v>2024</v>
      </c>
    </row>
    <row r="1129" spans="1:17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51"/>
        <v>15</v>
      </c>
      <c r="P1129">
        <f t="shared" si="52"/>
        <v>3</v>
      </c>
      <c r="Q1129">
        <f t="shared" si="53"/>
        <v>2025</v>
      </c>
    </row>
    <row r="1130" spans="1:17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51"/>
        <v>17</v>
      </c>
      <c r="P1130">
        <f t="shared" si="52"/>
        <v>8</v>
      </c>
      <c r="Q1130">
        <f t="shared" si="53"/>
        <v>2023</v>
      </c>
    </row>
    <row r="1131" spans="1:17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51"/>
        <v>11</v>
      </c>
      <c r="P1131">
        <f t="shared" si="52"/>
        <v>6</v>
      </c>
      <c r="Q1131">
        <f t="shared" si="53"/>
        <v>2023</v>
      </c>
    </row>
    <row r="1132" spans="1:17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51"/>
        <v>16</v>
      </c>
      <c r="P1132">
        <f t="shared" si="52"/>
        <v>2</v>
      </c>
      <c r="Q1132">
        <f t="shared" si="53"/>
        <v>2025</v>
      </c>
    </row>
    <row r="1133" spans="1:17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51"/>
        <v>18</v>
      </c>
      <c r="P1133">
        <f t="shared" si="52"/>
        <v>7</v>
      </c>
      <c r="Q1133">
        <f t="shared" si="53"/>
        <v>2024</v>
      </c>
    </row>
    <row r="1134" spans="1:17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51"/>
        <v>2</v>
      </c>
      <c r="P1134">
        <f t="shared" si="52"/>
        <v>12</v>
      </c>
      <c r="Q1134">
        <f t="shared" si="53"/>
        <v>2024</v>
      </c>
    </row>
    <row r="1135" spans="1:17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51"/>
        <v>9</v>
      </c>
      <c r="P1135">
        <f t="shared" si="52"/>
        <v>4</v>
      </c>
      <c r="Q1135">
        <f t="shared" si="53"/>
        <v>2024</v>
      </c>
    </row>
    <row r="1136" spans="1:17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51"/>
        <v>8</v>
      </c>
      <c r="P1136">
        <f t="shared" si="52"/>
        <v>6</v>
      </c>
      <c r="Q1136">
        <f t="shared" si="53"/>
        <v>2024</v>
      </c>
    </row>
    <row r="1137" spans="1:17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51"/>
        <v>28</v>
      </c>
      <c r="P1137">
        <f t="shared" si="52"/>
        <v>12</v>
      </c>
      <c r="Q1137">
        <f t="shared" si="53"/>
        <v>2023</v>
      </c>
    </row>
    <row r="1138" spans="1:17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51"/>
        <v>24</v>
      </c>
      <c r="P1138">
        <f t="shared" si="52"/>
        <v>9</v>
      </c>
      <c r="Q1138">
        <f t="shared" si="53"/>
        <v>2023</v>
      </c>
    </row>
    <row r="1139" spans="1:17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51"/>
        <v>29</v>
      </c>
      <c r="P1139">
        <f t="shared" si="52"/>
        <v>7</v>
      </c>
      <c r="Q1139">
        <f t="shared" si="53"/>
        <v>2024</v>
      </c>
    </row>
    <row r="1140" spans="1:17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51"/>
        <v>18</v>
      </c>
      <c r="P1140">
        <f t="shared" si="52"/>
        <v>12</v>
      </c>
      <c r="Q1140">
        <f t="shared" si="53"/>
        <v>2023</v>
      </c>
    </row>
    <row r="1141" spans="1:17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51"/>
        <v>1</v>
      </c>
      <c r="P1141">
        <f t="shared" si="52"/>
        <v>3</v>
      </c>
      <c r="Q1141">
        <f t="shared" si="53"/>
        <v>2025</v>
      </c>
    </row>
    <row r="1142" spans="1:17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51"/>
        <v>24</v>
      </c>
      <c r="P1142">
        <f t="shared" si="52"/>
        <v>6</v>
      </c>
      <c r="Q1142">
        <f t="shared" si="53"/>
        <v>2024</v>
      </c>
    </row>
    <row r="1143" spans="1:17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51"/>
        <v>16</v>
      </c>
      <c r="P1143">
        <f t="shared" si="52"/>
        <v>2</v>
      </c>
      <c r="Q1143">
        <f t="shared" si="53"/>
        <v>2025</v>
      </c>
    </row>
    <row r="1144" spans="1:17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51"/>
        <v>23</v>
      </c>
      <c r="P1144">
        <f t="shared" si="52"/>
        <v>8</v>
      </c>
      <c r="Q1144">
        <f t="shared" si="53"/>
        <v>2024</v>
      </c>
    </row>
    <row r="1145" spans="1:17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51"/>
        <v>3</v>
      </c>
      <c r="P1145">
        <f t="shared" si="52"/>
        <v>4</v>
      </c>
      <c r="Q1145">
        <f t="shared" si="53"/>
        <v>2023</v>
      </c>
    </row>
    <row r="1146" spans="1:17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51"/>
        <v>16</v>
      </c>
      <c r="P1146">
        <f t="shared" si="52"/>
        <v>2</v>
      </c>
      <c r="Q1146">
        <f t="shared" si="53"/>
        <v>2023</v>
      </c>
    </row>
    <row r="1147" spans="1:17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51"/>
        <v>12</v>
      </c>
      <c r="P1147">
        <f t="shared" si="52"/>
        <v>5</v>
      </c>
      <c r="Q1147">
        <f t="shared" si="53"/>
        <v>2025</v>
      </c>
    </row>
    <row r="1148" spans="1:17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51"/>
        <v>3</v>
      </c>
      <c r="P1148">
        <f t="shared" si="52"/>
        <v>10</v>
      </c>
      <c r="Q1148">
        <f t="shared" si="53"/>
        <v>2024</v>
      </c>
    </row>
    <row r="1149" spans="1:17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51"/>
        <v>2</v>
      </c>
      <c r="P1149">
        <f t="shared" si="52"/>
        <v>1</v>
      </c>
      <c r="Q1149">
        <f t="shared" si="53"/>
        <v>2025</v>
      </c>
    </row>
    <row r="1150" spans="1:17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51"/>
        <v>25</v>
      </c>
      <c r="P1150">
        <f t="shared" si="52"/>
        <v>6</v>
      </c>
      <c r="Q1150">
        <f t="shared" si="53"/>
        <v>2024</v>
      </c>
    </row>
    <row r="1151" spans="1:17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51"/>
        <v>25</v>
      </c>
      <c r="P1151">
        <f t="shared" si="52"/>
        <v>7</v>
      </c>
      <c r="Q1151">
        <f t="shared" si="53"/>
        <v>2024</v>
      </c>
    </row>
    <row r="1152" spans="1:17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51"/>
        <v>20</v>
      </c>
      <c r="P1152">
        <f t="shared" si="52"/>
        <v>2</v>
      </c>
      <c r="Q1152">
        <f t="shared" si="53"/>
        <v>2023</v>
      </c>
    </row>
    <row r="1153" spans="1:17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51"/>
        <v>29</v>
      </c>
      <c r="P1153">
        <f t="shared" si="52"/>
        <v>1</v>
      </c>
      <c r="Q1153">
        <f t="shared" si="53"/>
        <v>2023</v>
      </c>
    </row>
    <row r="1154" spans="1:17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ref="O1154:O1201" si="54">DAY(B1154)</f>
        <v>9</v>
      </c>
      <c r="P1154">
        <f t="shared" ref="P1154:P1201" si="55">MONTH(B1154)</f>
        <v>11</v>
      </c>
      <c r="Q1154">
        <f t="shared" ref="Q1154:Q1201" si="56">YEAR(B1154)</f>
        <v>2023</v>
      </c>
    </row>
    <row r="1155" spans="1:17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si="54"/>
        <v>16</v>
      </c>
      <c r="P1155">
        <f t="shared" si="55"/>
        <v>12</v>
      </c>
      <c r="Q1155">
        <f t="shared" si="56"/>
        <v>2024</v>
      </c>
    </row>
    <row r="1156" spans="1:17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54"/>
        <v>11</v>
      </c>
      <c r="P1156">
        <f t="shared" si="55"/>
        <v>6</v>
      </c>
      <c r="Q1156">
        <f t="shared" si="56"/>
        <v>2025</v>
      </c>
    </row>
    <row r="1157" spans="1:17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54"/>
        <v>13</v>
      </c>
      <c r="P1157">
        <f t="shared" si="55"/>
        <v>8</v>
      </c>
      <c r="Q1157">
        <f t="shared" si="56"/>
        <v>2023</v>
      </c>
    </row>
    <row r="1158" spans="1:17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54"/>
        <v>19</v>
      </c>
      <c r="P1158">
        <f t="shared" si="55"/>
        <v>7</v>
      </c>
      <c r="Q1158">
        <f t="shared" si="56"/>
        <v>2023</v>
      </c>
    </row>
    <row r="1159" spans="1:17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</v>
      </c>
      <c r="O1159">
        <f t="shared" si="54"/>
        <v>29</v>
      </c>
      <c r="P1159">
        <f t="shared" si="55"/>
        <v>5</v>
      </c>
      <c r="Q1159">
        <f t="shared" si="56"/>
        <v>2024</v>
      </c>
    </row>
    <row r="1160" spans="1:17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54"/>
        <v>20</v>
      </c>
      <c r="P1160">
        <f t="shared" si="55"/>
        <v>4</v>
      </c>
      <c r="Q1160">
        <f t="shared" si="56"/>
        <v>2023</v>
      </c>
    </row>
    <row r="1161" spans="1:17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54"/>
        <v>23</v>
      </c>
      <c r="P1161">
        <f t="shared" si="55"/>
        <v>2</v>
      </c>
      <c r="Q1161">
        <f t="shared" si="56"/>
        <v>2024</v>
      </c>
    </row>
    <row r="1162" spans="1:17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54"/>
        <v>4</v>
      </c>
      <c r="P1162">
        <f t="shared" si="55"/>
        <v>9</v>
      </c>
      <c r="Q1162">
        <f t="shared" si="56"/>
        <v>2024</v>
      </c>
    </row>
    <row r="1163" spans="1:17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54"/>
        <v>16</v>
      </c>
      <c r="P1163">
        <f t="shared" si="55"/>
        <v>10</v>
      </c>
      <c r="Q1163">
        <f t="shared" si="56"/>
        <v>2023</v>
      </c>
    </row>
    <row r="1164" spans="1:17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54"/>
        <v>11</v>
      </c>
      <c r="P1164">
        <f t="shared" si="55"/>
        <v>3</v>
      </c>
      <c r="Q1164">
        <f t="shared" si="56"/>
        <v>2025</v>
      </c>
    </row>
    <row r="1165" spans="1:17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</v>
      </c>
      <c r="O1165">
        <f t="shared" si="54"/>
        <v>11</v>
      </c>
      <c r="P1165">
        <f t="shared" si="55"/>
        <v>6</v>
      </c>
      <c r="Q1165">
        <f t="shared" si="56"/>
        <v>2024</v>
      </c>
    </row>
    <row r="1166" spans="1:17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54"/>
        <v>8</v>
      </c>
      <c r="P1166">
        <f t="shared" si="55"/>
        <v>1</v>
      </c>
      <c r="Q1166">
        <f t="shared" si="56"/>
        <v>2024</v>
      </c>
    </row>
    <row r="1167" spans="1:17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54"/>
        <v>14</v>
      </c>
      <c r="P1167">
        <f t="shared" si="55"/>
        <v>7</v>
      </c>
      <c r="Q1167">
        <f t="shared" si="56"/>
        <v>2023</v>
      </c>
    </row>
    <row r="1168" spans="1:17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</v>
      </c>
      <c r="O1168">
        <f t="shared" si="54"/>
        <v>31</v>
      </c>
      <c r="P1168">
        <f t="shared" si="55"/>
        <v>7</v>
      </c>
      <c r="Q1168">
        <f t="shared" si="56"/>
        <v>2023</v>
      </c>
    </row>
    <row r="1169" spans="1:17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54"/>
        <v>17</v>
      </c>
      <c r="P1169">
        <f t="shared" si="55"/>
        <v>10</v>
      </c>
      <c r="Q1169">
        <f t="shared" si="56"/>
        <v>2023</v>
      </c>
    </row>
    <row r="1170" spans="1:17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54"/>
        <v>8</v>
      </c>
      <c r="P1170">
        <f t="shared" si="55"/>
        <v>4</v>
      </c>
      <c r="Q1170">
        <f t="shared" si="56"/>
        <v>2023</v>
      </c>
    </row>
    <row r="1171" spans="1:17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54"/>
        <v>23</v>
      </c>
      <c r="P1171">
        <f t="shared" si="55"/>
        <v>12</v>
      </c>
      <c r="Q1171">
        <f t="shared" si="56"/>
        <v>2024</v>
      </c>
    </row>
    <row r="1172" spans="1:17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54"/>
        <v>3</v>
      </c>
      <c r="P1172">
        <f t="shared" si="55"/>
        <v>8</v>
      </c>
      <c r="Q1172">
        <f t="shared" si="56"/>
        <v>2023</v>
      </c>
    </row>
    <row r="1173" spans="1:17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54"/>
        <v>28</v>
      </c>
      <c r="P1173">
        <f t="shared" si="55"/>
        <v>8</v>
      </c>
      <c r="Q1173">
        <f t="shared" si="56"/>
        <v>2023</v>
      </c>
    </row>
    <row r="1174" spans="1:17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54"/>
        <v>4</v>
      </c>
      <c r="P1174">
        <f t="shared" si="55"/>
        <v>2</v>
      </c>
      <c r="Q1174">
        <f t="shared" si="56"/>
        <v>2025</v>
      </c>
    </row>
    <row r="1175" spans="1:17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54"/>
        <v>4</v>
      </c>
      <c r="P1175">
        <f t="shared" si="55"/>
        <v>10</v>
      </c>
      <c r="Q1175">
        <f t="shared" si="56"/>
        <v>2024</v>
      </c>
    </row>
    <row r="1176" spans="1:17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54"/>
        <v>27</v>
      </c>
      <c r="P1176">
        <f t="shared" si="55"/>
        <v>11</v>
      </c>
      <c r="Q1176">
        <f t="shared" si="56"/>
        <v>2023</v>
      </c>
    </row>
    <row r="1177" spans="1:17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54"/>
        <v>10</v>
      </c>
      <c r="P1177">
        <f t="shared" si="55"/>
        <v>9</v>
      </c>
      <c r="Q1177">
        <f t="shared" si="56"/>
        <v>2024</v>
      </c>
    </row>
    <row r="1178" spans="1:17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54"/>
        <v>13</v>
      </c>
      <c r="P1178">
        <f t="shared" si="55"/>
        <v>8</v>
      </c>
      <c r="Q1178">
        <f t="shared" si="56"/>
        <v>2023</v>
      </c>
    </row>
    <row r="1179" spans="1:17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54"/>
        <v>27</v>
      </c>
      <c r="P1179">
        <f t="shared" si="55"/>
        <v>4</v>
      </c>
      <c r="Q1179">
        <f t="shared" si="56"/>
        <v>2023</v>
      </c>
    </row>
    <row r="1180" spans="1:17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54"/>
        <v>8</v>
      </c>
      <c r="P1180">
        <f t="shared" si="55"/>
        <v>9</v>
      </c>
      <c r="Q1180">
        <f t="shared" si="56"/>
        <v>2024</v>
      </c>
    </row>
    <row r="1181" spans="1:17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54"/>
        <v>8</v>
      </c>
      <c r="P1181">
        <f t="shared" si="55"/>
        <v>1</v>
      </c>
      <c r="Q1181">
        <f t="shared" si="56"/>
        <v>2023</v>
      </c>
    </row>
    <row r="1182" spans="1:17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54"/>
        <v>31</v>
      </c>
      <c r="P1182">
        <f t="shared" si="55"/>
        <v>10</v>
      </c>
      <c r="Q1182">
        <f t="shared" si="56"/>
        <v>2023</v>
      </c>
    </row>
    <row r="1183" spans="1:17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54"/>
        <v>27</v>
      </c>
      <c r="P1183">
        <f t="shared" si="55"/>
        <v>7</v>
      </c>
      <c r="Q1183">
        <f t="shared" si="56"/>
        <v>2023</v>
      </c>
    </row>
    <row r="1184" spans="1:17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54"/>
        <v>14</v>
      </c>
      <c r="P1184">
        <f t="shared" si="55"/>
        <v>6</v>
      </c>
      <c r="Q1184">
        <f t="shared" si="56"/>
        <v>2025</v>
      </c>
    </row>
    <row r="1185" spans="1:17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54"/>
        <v>5</v>
      </c>
      <c r="P1185">
        <f t="shared" si="55"/>
        <v>4</v>
      </c>
      <c r="Q1185">
        <f t="shared" si="56"/>
        <v>2023</v>
      </c>
    </row>
    <row r="1186" spans="1:17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54"/>
        <v>27</v>
      </c>
      <c r="P1186">
        <f t="shared" si="55"/>
        <v>9</v>
      </c>
      <c r="Q1186">
        <f t="shared" si="56"/>
        <v>2023</v>
      </c>
    </row>
    <row r="1187" spans="1:17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54"/>
        <v>8</v>
      </c>
      <c r="P1187">
        <f t="shared" si="55"/>
        <v>7</v>
      </c>
      <c r="Q1187">
        <f t="shared" si="56"/>
        <v>2024</v>
      </c>
    </row>
    <row r="1188" spans="1:17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54"/>
        <v>18</v>
      </c>
      <c r="P1188">
        <f t="shared" si="55"/>
        <v>11</v>
      </c>
      <c r="Q1188">
        <f t="shared" si="56"/>
        <v>2023</v>
      </c>
    </row>
    <row r="1189" spans="1:17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54"/>
        <v>13</v>
      </c>
      <c r="P1189">
        <f t="shared" si="55"/>
        <v>3</v>
      </c>
      <c r="Q1189">
        <f t="shared" si="56"/>
        <v>2024</v>
      </c>
    </row>
    <row r="1190" spans="1:17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54"/>
        <v>7</v>
      </c>
      <c r="P1190">
        <f t="shared" si="55"/>
        <v>10</v>
      </c>
      <c r="Q1190">
        <f t="shared" si="56"/>
        <v>2023</v>
      </c>
    </row>
    <row r="1191" spans="1:17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54"/>
        <v>17</v>
      </c>
      <c r="P1191">
        <f t="shared" si="55"/>
        <v>8</v>
      </c>
      <c r="Q1191">
        <f t="shared" si="56"/>
        <v>2024</v>
      </c>
    </row>
    <row r="1192" spans="1:17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54"/>
        <v>8</v>
      </c>
      <c r="P1192">
        <f t="shared" si="55"/>
        <v>6</v>
      </c>
      <c r="Q1192">
        <f t="shared" si="56"/>
        <v>2025</v>
      </c>
    </row>
    <row r="1193" spans="1:17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54"/>
        <v>10</v>
      </c>
      <c r="P1193">
        <f t="shared" si="55"/>
        <v>2</v>
      </c>
      <c r="Q1193">
        <f t="shared" si="56"/>
        <v>2025</v>
      </c>
    </row>
    <row r="1194" spans="1:17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54"/>
        <v>28</v>
      </c>
      <c r="P1194">
        <f t="shared" si="55"/>
        <v>2</v>
      </c>
      <c r="Q1194">
        <f t="shared" si="56"/>
        <v>2024</v>
      </c>
    </row>
    <row r="1195" spans="1:17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54"/>
        <v>16</v>
      </c>
      <c r="P1195">
        <f t="shared" si="55"/>
        <v>6</v>
      </c>
      <c r="Q1195">
        <f t="shared" si="56"/>
        <v>2025</v>
      </c>
    </row>
    <row r="1196" spans="1:17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568.32000000000005</v>
      </c>
      <c r="O1196">
        <f t="shared" si="54"/>
        <v>19</v>
      </c>
      <c r="P1196">
        <f t="shared" si="55"/>
        <v>11</v>
      </c>
      <c r="Q1196">
        <f t="shared" si="56"/>
        <v>2023</v>
      </c>
    </row>
    <row r="1197" spans="1:17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54"/>
        <v>20</v>
      </c>
      <c r="P1197">
        <f t="shared" si="55"/>
        <v>6</v>
      </c>
      <c r="Q1197">
        <f t="shared" si="56"/>
        <v>2024</v>
      </c>
    </row>
    <row r="1198" spans="1:17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54"/>
        <v>4</v>
      </c>
      <c r="P1198">
        <f t="shared" si="55"/>
        <v>3</v>
      </c>
      <c r="Q1198">
        <f t="shared" si="56"/>
        <v>2024</v>
      </c>
    </row>
    <row r="1199" spans="1:17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54"/>
        <v>13</v>
      </c>
      <c r="P1199">
        <f t="shared" si="55"/>
        <v>7</v>
      </c>
      <c r="Q1199">
        <f t="shared" si="56"/>
        <v>2023</v>
      </c>
    </row>
    <row r="1200" spans="1:17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54"/>
        <v>22</v>
      </c>
      <c r="P1200">
        <f t="shared" si="55"/>
        <v>8</v>
      </c>
      <c r="Q1200">
        <f t="shared" si="56"/>
        <v>2024</v>
      </c>
    </row>
    <row r="1201" spans="1:17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54"/>
        <v>11</v>
      </c>
      <c r="P1201">
        <f t="shared" si="55"/>
        <v>6</v>
      </c>
      <c r="Q1201">
        <f t="shared" si="56"/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BE55-761E-42F9-82F4-E6FFE79D1092}">
  <dimension ref="A1:J33"/>
  <sheetViews>
    <sheetView tabSelected="1" topLeftCell="A2" zoomScale="80" zoomScaleNormal="80" workbookViewId="0">
      <selection activeCell="E18" sqref="E18"/>
    </sheetView>
  </sheetViews>
  <sheetFormatPr defaultRowHeight="14.4" x14ac:dyDescent="0.3"/>
  <cols>
    <col min="1" max="1" width="24" style="13" customWidth="1"/>
    <col min="2" max="2" width="16.6640625" style="4" bestFit="1" customWidth="1"/>
    <col min="3" max="3" width="23.77734375" style="4" customWidth="1"/>
    <col min="4" max="4" width="12.21875" style="12" bestFit="1" customWidth="1"/>
    <col min="5" max="6" width="12.21875" style="4" bestFit="1" customWidth="1"/>
    <col min="7" max="7" width="13.88671875" style="4" bestFit="1" customWidth="1"/>
    <col min="8" max="16384" width="8.88671875" style="4"/>
  </cols>
  <sheetData>
    <row r="1" spans="1:10" x14ac:dyDescent="0.3">
      <c r="A1" s="13" t="s">
        <v>4284</v>
      </c>
      <c r="B1" s="4" t="s">
        <v>5</v>
      </c>
      <c r="C1" s="4" t="s">
        <v>13</v>
      </c>
      <c r="D1" s="12" t="s">
        <v>4</v>
      </c>
    </row>
    <row r="2" spans="1:10" x14ac:dyDescent="0.3">
      <c r="A2" s="13" t="s">
        <v>4285</v>
      </c>
      <c r="B2" s="4">
        <f>AVERAGE(CleanedData!F:F)</f>
        <v>356.41275000000007</v>
      </c>
      <c r="C2" s="4">
        <f>AVERAGE(CleanedData!N:N)</f>
        <v>1053.9683000000005</v>
      </c>
      <c r="D2" s="12">
        <f>AVERAGE(CleanedData!E:E)</f>
        <v>2.9458333333333333</v>
      </c>
    </row>
    <row r="3" spans="1:10" x14ac:dyDescent="0.3">
      <c r="A3" s="13" t="s">
        <v>4286</v>
      </c>
      <c r="B3" s="4">
        <f>MEDIAN(CleanedData!F:F)</f>
        <v>364.21</v>
      </c>
      <c r="C3" s="4">
        <f>MEDIAN(CleanedData!N:N)</f>
        <v>823.61500000000001</v>
      </c>
      <c r="D3" s="12">
        <f>MEDIAN(CleanedData!E:E)</f>
        <v>3</v>
      </c>
    </row>
    <row r="4" spans="1:10" x14ac:dyDescent="0.3">
      <c r="A4" s="13" t="s">
        <v>4287</v>
      </c>
      <c r="B4" s="4">
        <f>COUNT(CleanedData!F:F)</f>
        <v>1200</v>
      </c>
      <c r="C4" s="4">
        <f>COUNT(CleanedData!N:N)</f>
        <v>1200</v>
      </c>
      <c r="D4" s="12">
        <f>COUNT(CleanedData!E:E)</f>
        <v>1200</v>
      </c>
    </row>
    <row r="5" spans="1:10" x14ac:dyDescent="0.3">
      <c r="A5" s="13" t="s">
        <v>4288</v>
      </c>
      <c r="B5" s="4">
        <f>MIN(CleanedData!F:F)</f>
        <v>11.39</v>
      </c>
      <c r="C5" s="4">
        <f>MIN(CleanedData!N:N)</f>
        <v>11.39</v>
      </c>
      <c r="D5" s="12">
        <f>MIN(CleanedData!E:E)</f>
        <v>1</v>
      </c>
    </row>
    <row r="6" spans="1:10" x14ac:dyDescent="0.3">
      <c r="A6" s="13" t="s">
        <v>4289</v>
      </c>
      <c r="B6" s="4">
        <f>MAX(CleanedData!F:F)</f>
        <v>699.93</v>
      </c>
      <c r="C6" s="4">
        <f>MAX(CleanedData!N:N)</f>
        <v>3456.4</v>
      </c>
      <c r="D6" s="12">
        <f>MAX(CleanedData!E:E)</f>
        <v>5</v>
      </c>
    </row>
    <row r="8" spans="1:10" x14ac:dyDescent="0.3">
      <c r="A8" s="22" t="s">
        <v>4290</v>
      </c>
      <c r="B8" s="5" t="s">
        <v>4292</v>
      </c>
      <c r="C8" s="21" t="s">
        <v>4293</v>
      </c>
      <c r="E8"/>
      <c r="F8"/>
      <c r="G8"/>
    </row>
    <row r="9" spans="1:10" x14ac:dyDescent="0.3">
      <c r="A9" s="23" t="s">
        <v>2406</v>
      </c>
      <c r="B9" s="5">
        <v>195620.11000000002</v>
      </c>
      <c r="C9" s="21">
        <v>178</v>
      </c>
      <c r="E9"/>
      <c r="F9"/>
      <c r="G9"/>
    </row>
    <row r="10" spans="1:10" x14ac:dyDescent="0.3">
      <c r="A10" s="23" t="s">
        <v>2409</v>
      </c>
      <c r="B10" s="5">
        <v>167459.93</v>
      </c>
      <c r="C10" s="21">
        <v>170</v>
      </c>
      <c r="E10"/>
      <c r="F10"/>
      <c r="G10"/>
    </row>
    <row r="11" spans="1:10" x14ac:dyDescent="0.3">
      <c r="A11" s="23" t="s">
        <v>2408</v>
      </c>
      <c r="B11" s="5">
        <v>192126.55999999994</v>
      </c>
      <c r="C11" s="21">
        <v>173</v>
      </c>
      <c r="E11"/>
      <c r="F11"/>
      <c r="G11"/>
    </row>
    <row r="12" spans="1:10" x14ac:dyDescent="0.3">
      <c r="A12" s="23" t="s">
        <v>2403</v>
      </c>
      <c r="B12" s="5">
        <v>175651.40999999997</v>
      </c>
      <c r="C12" s="21">
        <v>163</v>
      </c>
      <c r="E12"/>
      <c r="F12"/>
      <c r="I12" s="12"/>
      <c r="J12" s="13"/>
    </row>
    <row r="13" spans="1:10" x14ac:dyDescent="0.3">
      <c r="A13" s="23" t="s">
        <v>2404</v>
      </c>
      <c r="B13" s="5">
        <v>151722.39000000001</v>
      </c>
      <c r="C13" s="21">
        <v>156</v>
      </c>
      <c r="E13"/>
      <c r="F13"/>
      <c r="G13" s="13"/>
      <c r="I13" s="12"/>
    </row>
    <row r="14" spans="1:10" x14ac:dyDescent="0.3">
      <c r="A14" s="23" t="s">
        <v>2407</v>
      </c>
      <c r="B14" s="5">
        <v>195612.60999999996</v>
      </c>
      <c r="C14" s="21">
        <v>181</v>
      </c>
      <c r="E14"/>
      <c r="F14"/>
      <c r="G14" s="13"/>
      <c r="I14" s="12"/>
    </row>
    <row r="15" spans="1:10" x14ac:dyDescent="0.3">
      <c r="A15" s="23" t="s">
        <v>2405</v>
      </c>
      <c r="B15" s="5">
        <v>186568.95000000007</v>
      </c>
      <c r="C15" s="21">
        <v>179</v>
      </c>
      <c r="E15"/>
      <c r="F15"/>
      <c r="G15" s="13"/>
      <c r="I15" s="12"/>
    </row>
    <row r="16" spans="1:10" x14ac:dyDescent="0.3">
      <c r="A16" s="23" t="s">
        <v>4291</v>
      </c>
      <c r="B16" s="5">
        <v>1264761.959999999</v>
      </c>
      <c r="C16" s="21">
        <v>1200</v>
      </c>
      <c r="E16"/>
      <c r="F16"/>
      <c r="G16" s="13"/>
      <c r="I16" s="12"/>
    </row>
    <row r="17" spans="1:8" x14ac:dyDescent="0.3">
      <c r="A17"/>
      <c r="B17"/>
      <c r="C17"/>
      <c r="E17"/>
      <c r="F17"/>
      <c r="G17"/>
    </row>
    <row r="22" spans="1:8" ht="15" thickBot="1" x14ac:dyDescent="0.35">
      <c r="A22" s="17" t="s">
        <v>4299</v>
      </c>
      <c r="F22" s="20" t="s">
        <v>4300</v>
      </c>
    </row>
    <row r="23" spans="1:8" ht="15" thickTop="1" x14ac:dyDescent="0.3">
      <c r="A23" s="18"/>
      <c r="B23" s="18"/>
      <c r="C23" s="19"/>
      <c r="D23" s="16"/>
      <c r="E23" s="15"/>
      <c r="F23" s="6" t="s">
        <v>4284</v>
      </c>
      <c r="G23" s="7" t="s">
        <v>13</v>
      </c>
      <c r="H23" s="15"/>
    </row>
    <row r="24" spans="1:8" x14ac:dyDescent="0.3">
      <c r="A24" s="18"/>
      <c r="B24" s="19"/>
      <c r="C24" s="16"/>
      <c r="D24" s="15"/>
      <c r="E24" s="15"/>
      <c r="F24" s="8"/>
      <c r="G24" s="9"/>
      <c r="H24" s="15"/>
    </row>
    <row r="25" spans="1:8" x14ac:dyDescent="0.3">
      <c r="A25" s="14"/>
      <c r="B25" s="15"/>
      <c r="C25" s="15"/>
      <c r="D25" s="16"/>
      <c r="E25" s="15"/>
      <c r="F25" s="10" t="s">
        <v>4294</v>
      </c>
      <c r="G25" s="11">
        <f>QUARTILE(CleanedData!N:N,1)</f>
        <v>410.52</v>
      </c>
      <c r="H25" s="15"/>
    </row>
    <row r="26" spans="1:8" x14ac:dyDescent="0.3">
      <c r="A26" s="14"/>
      <c r="B26" s="15"/>
      <c r="C26" s="15"/>
      <c r="D26" s="16"/>
      <c r="E26" s="15"/>
      <c r="F26" s="8"/>
      <c r="G26" s="9"/>
      <c r="H26" s="15"/>
    </row>
    <row r="27" spans="1:8" x14ac:dyDescent="0.3">
      <c r="A27" s="14"/>
      <c r="B27" s="15"/>
      <c r="C27" s="15"/>
      <c r="D27" s="16"/>
      <c r="E27" s="15"/>
      <c r="F27" s="10" t="s">
        <v>4295</v>
      </c>
      <c r="G27" s="11">
        <f>QUARTILE(CleanedData!N:N,3)</f>
        <v>1578.4749999999999</v>
      </c>
      <c r="H27" s="15"/>
    </row>
    <row r="28" spans="1:8" x14ac:dyDescent="0.3">
      <c r="F28" s="8"/>
      <c r="G28" s="9"/>
    </row>
    <row r="29" spans="1:8" x14ac:dyDescent="0.3">
      <c r="F29" s="10" t="s">
        <v>4296</v>
      </c>
      <c r="G29" s="11">
        <f>G27-G25</f>
        <v>1167.9549999999999</v>
      </c>
    </row>
    <row r="30" spans="1:8" x14ac:dyDescent="0.3">
      <c r="F30" s="8"/>
      <c r="G30" s="9"/>
    </row>
    <row r="31" spans="1:8" x14ac:dyDescent="0.3">
      <c r="F31" s="10" t="s">
        <v>4297</v>
      </c>
      <c r="G31" s="11">
        <f>G25-1.5*G29</f>
        <v>-1341.4124999999999</v>
      </c>
    </row>
    <row r="32" spans="1:8" x14ac:dyDescent="0.3">
      <c r="F32" s="8"/>
      <c r="G32" s="9"/>
    </row>
    <row r="33" spans="6:7" x14ac:dyDescent="0.3">
      <c r="F33" s="10" t="s">
        <v>4298</v>
      </c>
      <c r="G33" s="11">
        <f>G27+1.5*G29</f>
        <v>3330.4074999999998</v>
      </c>
    </row>
  </sheetData>
  <sortState xmlns:xlrd2="http://schemas.microsoft.com/office/spreadsheetml/2017/richdata2" columnSort="1" ref="A8:C16">
    <sortCondition descending="1" ref="C8"/>
  </sortState>
  <conditionalFormatting sqref="C8">
    <cfRule type="top10" dxfId="20" priority="1" rank="10"/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12C2E-61B0-4B1F-A92B-B488CEAB5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CleanedData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Gizmo Berry</dc:creator>
  <cp:lastModifiedBy>Jeremiah Uchechukwu</cp:lastModifiedBy>
  <dcterms:created xsi:type="dcterms:W3CDTF">2025-06-21T13:19:12Z</dcterms:created>
  <dcterms:modified xsi:type="dcterms:W3CDTF">2026-06-13T07:33:52Z</dcterms:modified>
</cp:coreProperties>
</file>